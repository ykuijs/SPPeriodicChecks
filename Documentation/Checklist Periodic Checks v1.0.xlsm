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30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kuijs\Documents\GitHub\Powershell%20Script%20Library\PeriodicChecks\DocumentationEN\"/>
    </mc:Choice>
  </mc:AlternateContent>
  <bookViews>
    <workbookView xWindow="0" yWindow="0" windowWidth="23040" windowHeight="8910" tabRatio="733" activeTab="2" xr2:uid="{00000000-000D-0000-FFFF-FFFF00000000}"/>
  </bookViews>
  <sheets>
    <sheet name="Instructions" sheetId="1" r:id="rId1"/>
    <sheet name="Data" sheetId="11" r:id="rId2"/>
    <sheet name="January" sheetId="12" r:id="rId3"/>
    <sheet name="February" sheetId="62" r:id="rId4"/>
    <sheet name="March" sheetId="63" r:id="rId5"/>
    <sheet name="April" sheetId="64" r:id="rId6"/>
    <sheet name="May" sheetId="65" r:id="rId7"/>
    <sheet name="June" sheetId="72" r:id="rId8"/>
    <sheet name="July" sheetId="70" r:id="rId9"/>
    <sheet name="August" sheetId="71" r:id="rId10"/>
    <sheet name="September" sheetId="69" r:id="rId11"/>
    <sheet name="October" sheetId="68" r:id="rId12"/>
    <sheet name="November" sheetId="66" r:id="rId13"/>
    <sheet name="December" sheetId="67" r:id="rId14"/>
    <sheet name="Template" sheetId="61" r:id="rId15"/>
  </sheets>
  <definedNames>
    <definedName name="Jaartal">Data!$C$2</definedName>
    <definedName name="List_Maanden">Data!$E$2:$E$13</definedName>
    <definedName name="List_Personen">Data!$A$2:$A$9</definedName>
    <definedName name="Status">Data!$H$2:$H$6</definedName>
  </definedNames>
  <calcPr calcId="171027"/>
</workbook>
</file>

<file path=xl/calcChain.xml><?xml version="1.0" encoding="utf-8"?>
<calcChain xmlns="http://schemas.openxmlformats.org/spreadsheetml/2006/main">
  <c r="DJ4" i="72" l="1"/>
  <c r="DI4" i="72"/>
  <c r="DH4" i="72"/>
  <c r="DG4" i="72"/>
  <c r="DF4" i="72"/>
  <c r="DE4" i="72"/>
  <c r="DD4" i="72"/>
  <c r="DC4" i="72"/>
  <c r="DB4" i="72"/>
  <c r="DA4" i="72"/>
  <c r="CZ4" i="72"/>
  <c r="CY4" i="72"/>
  <c r="CX4" i="72"/>
  <c r="CW4" i="72"/>
  <c r="CV4" i="72"/>
  <c r="CU4" i="72"/>
  <c r="CT4" i="72"/>
  <c r="CS4" i="72"/>
  <c r="CR4" i="72"/>
  <c r="CQ4" i="72"/>
  <c r="CP4" i="72"/>
  <c r="CO4" i="72"/>
  <c r="CN4" i="72"/>
  <c r="CM4" i="72"/>
  <c r="CL4" i="72"/>
  <c r="CK4" i="72"/>
  <c r="CJ4" i="72"/>
  <c r="CH4" i="72"/>
  <c r="CG4" i="72"/>
  <c r="CF4" i="72"/>
  <c r="CE4" i="72"/>
  <c r="CD4" i="72"/>
  <c r="CC4" i="72"/>
  <c r="CB4" i="72"/>
  <c r="CA4" i="72"/>
  <c r="BZ4" i="72"/>
  <c r="BY4" i="72"/>
  <c r="BX4" i="72"/>
  <c r="BW4" i="72"/>
  <c r="BV4" i="72"/>
  <c r="BU4" i="72"/>
  <c r="BT4" i="72"/>
  <c r="BS4" i="72"/>
  <c r="BR4" i="72"/>
  <c r="BQ4" i="72"/>
  <c r="BP4" i="72"/>
  <c r="BO4" i="72"/>
  <c r="BN4" i="72"/>
  <c r="BM4" i="72"/>
  <c r="BL4" i="72"/>
  <c r="BK4" i="72"/>
  <c r="BJ4" i="72"/>
  <c r="BI4" i="72"/>
  <c r="BH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DK3" i="72"/>
  <c r="DJ3" i="72"/>
  <c r="DI3" i="72"/>
  <c r="DH3" i="72"/>
  <c r="DG3" i="72"/>
  <c r="DF3" i="72"/>
  <c r="DE3" i="72"/>
  <c r="DD3" i="72"/>
  <c r="DC3" i="72"/>
  <c r="DB3" i="72"/>
  <c r="DA3" i="72"/>
  <c r="CZ3" i="72"/>
  <c r="CY3" i="72"/>
  <c r="CX3" i="72"/>
  <c r="CW3" i="72"/>
  <c r="CV3" i="72"/>
  <c r="CU3" i="72"/>
  <c r="CT3" i="72"/>
  <c r="CS3" i="72"/>
  <c r="CR3" i="72"/>
  <c r="CQ3" i="72"/>
  <c r="CP3" i="72"/>
  <c r="CO3" i="72"/>
  <c r="CN3" i="72"/>
  <c r="CM3" i="72"/>
  <c r="CL3" i="72"/>
  <c r="CK3" i="72"/>
  <c r="CJ3" i="72"/>
  <c r="CI3" i="72"/>
  <c r="CH3" i="72"/>
  <c r="CG3" i="72"/>
  <c r="CF3" i="72"/>
  <c r="CE3" i="72"/>
  <c r="CD3" i="72"/>
  <c r="CC3" i="72"/>
  <c r="CB3" i="72"/>
  <c r="CA3" i="72"/>
  <c r="BZ3" i="72"/>
  <c r="BY3" i="72"/>
  <c r="BX3" i="72"/>
  <c r="BW3" i="72"/>
  <c r="BV3" i="72"/>
  <c r="BU3" i="72"/>
  <c r="BT3" i="72"/>
  <c r="BS3" i="72"/>
  <c r="BR3" i="72"/>
  <c r="BQ3" i="72"/>
  <c r="BP3" i="72"/>
  <c r="BO3" i="72"/>
  <c r="BN3" i="72"/>
  <c r="BM3" i="72"/>
  <c r="BL3" i="72"/>
  <c r="BK3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B3" i="72"/>
  <c r="C35" i="72" s="1"/>
  <c r="A35" i="72" s="1"/>
  <c r="DJ2" i="72"/>
  <c r="DI2" i="72"/>
  <c r="DH2" i="72"/>
  <c r="DG2" i="72"/>
  <c r="DF2" i="72"/>
  <c r="DE2" i="72"/>
  <c r="DD2" i="72"/>
  <c r="DC2" i="72"/>
  <c r="DB2" i="72"/>
  <c r="DA2" i="72"/>
  <c r="CZ2" i="72"/>
  <c r="CY2" i="72"/>
  <c r="CX2" i="72"/>
  <c r="CW2" i="72"/>
  <c r="CV2" i="72"/>
  <c r="CU2" i="72"/>
  <c r="CT2" i="72"/>
  <c r="CS2" i="72"/>
  <c r="CR2" i="72"/>
  <c r="CQ2" i="72"/>
  <c r="CP2" i="72"/>
  <c r="CO2" i="72"/>
  <c r="CN2" i="72"/>
  <c r="CM2" i="72"/>
  <c r="CL2" i="72"/>
  <c r="CK2" i="72"/>
  <c r="CJ2" i="72"/>
  <c r="CH2" i="72"/>
  <c r="CG2" i="72"/>
  <c r="CF2" i="72"/>
  <c r="CE2" i="72"/>
  <c r="CD2" i="72"/>
  <c r="CC2" i="72"/>
  <c r="CB2" i="72"/>
  <c r="CA2" i="72"/>
  <c r="BZ2" i="72"/>
  <c r="BY2" i="72"/>
  <c r="BX2" i="72"/>
  <c r="BW2" i="72"/>
  <c r="BV2" i="72"/>
  <c r="BU2" i="72"/>
  <c r="BT2" i="72"/>
  <c r="BS2" i="72"/>
  <c r="BR2" i="72"/>
  <c r="BQ2" i="72"/>
  <c r="BP2" i="72"/>
  <c r="BO2" i="72"/>
  <c r="BN2" i="72"/>
  <c r="BM2" i="72"/>
  <c r="BL2" i="72"/>
  <c r="BK2" i="72"/>
  <c r="BJ2" i="72"/>
  <c r="BI2" i="72"/>
  <c r="BH2" i="72"/>
  <c r="BF2" i="72"/>
  <c r="BE2" i="72"/>
  <c r="BD2" i="72"/>
  <c r="BC2" i="72"/>
  <c r="BB2" i="72"/>
  <c r="BA2" i="72"/>
  <c r="AZ2" i="72"/>
  <c r="AY2" i="72"/>
  <c r="AX2" i="72"/>
  <c r="AW2" i="72"/>
  <c r="AV2" i="72"/>
  <c r="AU2" i="72"/>
  <c r="AT2" i="72"/>
  <c r="AS2" i="72"/>
  <c r="AR2" i="72"/>
  <c r="AQ2" i="72"/>
  <c r="AP2" i="72"/>
  <c r="AO2" i="72"/>
  <c r="AN2" i="72"/>
  <c r="AM2" i="72"/>
  <c r="AL2" i="72"/>
  <c r="AK2" i="72"/>
  <c r="AJ2" i="72"/>
  <c r="AI2" i="72"/>
  <c r="AH2" i="72"/>
  <c r="AG2" i="72"/>
  <c r="AF2" i="72"/>
  <c r="AD2" i="72"/>
  <c r="AC2" i="72"/>
  <c r="AB2" i="72"/>
  <c r="AA2" i="72"/>
  <c r="Z2" i="72"/>
  <c r="Y2" i="72"/>
  <c r="X2" i="72"/>
  <c r="W2" i="72"/>
  <c r="V2" i="72"/>
  <c r="U2" i="72"/>
  <c r="T2" i="72"/>
  <c r="S2" i="72"/>
  <c r="R2" i="72"/>
  <c r="Q2" i="72"/>
  <c r="P2" i="72"/>
  <c r="O2" i="72"/>
  <c r="N2" i="72"/>
  <c r="M2" i="72"/>
  <c r="L2" i="72"/>
  <c r="K2" i="72"/>
  <c r="J2" i="72"/>
  <c r="I2" i="72"/>
  <c r="H2" i="72"/>
  <c r="G2" i="72"/>
  <c r="F2" i="72"/>
  <c r="E2" i="72"/>
  <c r="D2" i="72"/>
  <c r="DJ4" i="71"/>
  <c r="DI4" i="71"/>
  <c r="DH4" i="71"/>
  <c r="DG4" i="71"/>
  <c r="DF4" i="71"/>
  <c r="DE4" i="71"/>
  <c r="DD4" i="71"/>
  <c r="DC4" i="71"/>
  <c r="DB4" i="71"/>
  <c r="DA4" i="71"/>
  <c r="CZ4" i="71"/>
  <c r="CY4" i="71"/>
  <c r="CX4" i="71"/>
  <c r="CW4" i="71"/>
  <c r="CV4" i="71"/>
  <c r="CU4" i="71"/>
  <c r="CT4" i="71"/>
  <c r="CS4" i="71"/>
  <c r="CR4" i="71"/>
  <c r="CQ4" i="71"/>
  <c r="CP4" i="71"/>
  <c r="CO4" i="71"/>
  <c r="CN4" i="71"/>
  <c r="CM4" i="71"/>
  <c r="CL4" i="71"/>
  <c r="CK4" i="71"/>
  <c r="CJ4" i="71"/>
  <c r="CH4" i="71"/>
  <c r="CG4" i="71"/>
  <c r="CF4" i="71"/>
  <c r="CE4" i="71"/>
  <c r="CD4" i="71"/>
  <c r="CC4" i="71"/>
  <c r="CB4" i="71"/>
  <c r="CA4" i="71"/>
  <c r="BZ4" i="71"/>
  <c r="BY4" i="71"/>
  <c r="BX4" i="71"/>
  <c r="BW4" i="71"/>
  <c r="BV4" i="71"/>
  <c r="BU4" i="71"/>
  <c r="BT4" i="71"/>
  <c r="BS4" i="71"/>
  <c r="BR4" i="71"/>
  <c r="BQ4" i="71"/>
  <c r="BP4" i="71"/>
  <c r="BO4" i="71"/>
  <c r="BN4" i="71"/>
  <c r="BM4" i="71"/>
  <c r="BL4" i="71"/>
  <c r="BK4" i="71"/>
  <c r="BJ4" i="71"/>
  <c r="BI4" i="71"/>
  <c r="BH4" i="71"/>
  <c r="BF4" i="71"/>
  <c r="BE4" i="71"/>
  <c r="BD4" i="71"/>
  <c r="BC4" i="71"/>
  <c r="BB4" i="71"/>
  <c r="BA4" i="71"/>
  <c r="AZ4" i="71"/>
  <c r="AY4" i="71"/>
  <c r="AX4" i="71"/>
  <c r="AW4" i="71"/>
  <c r="AV4" i="71"/>
  <c r="AU4" i="71"/>
  <c r="AT4" i="71"/>
  <c r="AS4" i="71"/>
  <c r="AR4" i="71"/>
  <c r="AQ4" i="71"/>
  <c r="AP4" i="71"/>
  <c r="AO4" i="71"/>
  <c r="AN4" i="71"/>
  <c r="AM4" i="71"/>
  <c r="AL4" i="71"/>
  <c r="AK4" i="71"/>
  <c r="AJ4" i="71"/>
  <c r="AI4" i="71"/>
  <c r="AH4" i="71"/>
  <c r="AG4" i="71"/>
  <c r="AF4" i="71"/>
  <c r="AD4" i="71"/>
  <c r="AC4" i="71"/>
  <c r="AB4" i="71"/>
  <c r="AA4" i="71"/>
  <c r="Z4" i="71"/>
  <c r="Y4" i="71"/>
  <c r="X4" i="71"/>
  <c r="W4" i="71"/>
  <c r="V4" i="71"/>
  <c r="U4" i="71"/>
  <c r="T4" i="7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D4" i="71"/>
  <c r="C4" i="71"/>
  <c r="DK3" i="71"/>
  <c r="DJ3" i="71"/>
  <c r="DI3" i="71"/>
  <c r="DH3" i="71"/>
  <c r="DG3" i="71"/>
  <c r="DF3" i="71"/>
  <c r="DE3" i="71"/>
  <c r="DD3" i="71"/>
  <c r="DC3" i="71"/>
  <c r="DB3" i="71"/>
  <c r="DA3" i="71"/>
  <c r="CZ3" i="71"/>
  <c r="CY3" i="71"/>
  <c r="CX3" i="71"/>
  <c r="CW3" i="71"/>
  <c r="CV3" i="71"/>
  <c r="CU3" i="71"/>
  <c r="CT3" i="71"/>
  <c r="CS3" i="71"/>
  <c r="CR3" i="71"/>
  <c r="CQ3" i="71"/>
  <c r="CP3" i="71"/>
  <c r="CO3" i="71"/>
  <c r="CN3" i="71"/>
  <c r="CM3" i="71"/>
  <c r="CL3" i="71"/>
  <c r="CK3" i="71"/>
  <c r="CJ3" i="71"/>
  <c r="CI3" i="71"/>
  <c r="CH3" i="71"/>
  <c r="CG3" i="71"/>
  <c r="CF3" i="71"/>
  <c r="CE3" i="71"/>
  <c r="CD3" i="71"/>
  <c r="CC3" i="71"/>
  <c r="CB3" i="71"/>
  <c r="CA3" i="71"/>
  <c r="BZ3" i="71"/>
  <c r="BY3" i="71"/>
  <c r="BX3" i="71"/>
  <c r="BW3" i="71"/>
  <c r="BV3" i="71"/>
  <c r="BU3" i="71"/>
  <c r="BT3" i="71"/>
  <c r="BS3" i="71"/>
  <c r="BR3" i="71"/>
  <c r="BQ3" i="71"/>
  <c r="BP3" i="71"/>
  <c r="BO3" i="71"/>
  <c r="BN3" i="71"/>
  <c r="BM3" i="71"/>
  <c r="BL3" i="71"/>
  <c r="BK3" i="71"/>
  <c r="BJ3" i="71"/>
  <c r="BI3" i="71"/>
  <c r="BH3" i="71"/>
  <c r="BG3" i="71"/>
  <c r="BF3" i="71"/>
  <c r="BE3" i="71"/>
  <c r="BD3" i="71"/>
  <c r="BC3" i="71"/>
  <c r="BB3" i="71"/>
  <c r="BA3" i="71"/>
  <c r="AZ3" i="71"/>
  <c r="AY3" i="71"/>
  <c r="AX3" i="71"/>
  <c r="AW3" i="71"/>
  <c r="AV3" i="71"/>
  <c r="AU3" i="71"/>
  <c r="AT3" i="71"/>
  <c r="AS3" i="71"/>
  <c r="AR3" i="71"/>
  <c r="AQ3" i="71"/>
  <c r="AP3" i="71"/>
  <c r="AO3" i="71"/>
  <c r="AN3" i="71"/>
  <c r="AM3" i="71"/>
  <c r="AL3" i="71"/>
  <c r="AK3" i="71"/>
  <c r="AJ3" i="71"/>
  <c r="AI3" i="71"/>
  <c r="AH3" i="71"/>
  <c r="AG3" i="71"/>
  <c r="AF3" i="71"/>
  <c r="AE3" i="71"/>
  <c r="AD3" i="71"/>
  <c r="AC3" i="71"/>
  <c r="AB3" i="71"/>
  <c r="AA3" i="71"/>
  <c r="Z3" i="71"/>
  <c r="Y3" i="71"/>
  <c r="X3" i="71"/>
  <c r="W3" i="71"/>
  <c r="V3" i="71"/>
  <c r="U3" i="71"/>
  <c r="T3" i="7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D3" i="71"/>
  <c r="B3" i="71"/>
  <c r="C34" i="71" s="1"/>
  <c r="A34" i="71" s="1"/>
  <c r="DJ2" i="71"/>
  <c r="DI2" i="71"/>
  <c r="DH2" i="71"/>
  <c r="DG2" i="71"/>
  <c r="DF2" i="71"/>
  <c r="DE2" i="71"/>
  <c r="DD2" i="71"/>
  <c r="DC2" i="71"/>
  <c r="DB2" i="71"/>
  <c r="DA2" i="71"/>
  <c r="CZ2" i="71"/>
  <c r="CY2" i="71"/>
  <c r="CX2" i="71"/>
  <c r="CW2" i="71"/>
  <c r="CV2" i="71"/>
  <c r="CU2" i="71"/>
  <c r="CT2" i="71"/>
  <c r="CS2" i="71"/>
  <c r="CR2" i="71"/>
  <c r="CQ2" i="71"/>
  <c r="CP2" i="71"/>
  <c r="CO2" i="71"/>
  <c r="CN2" i="71"/>
  <c r="CM2" i="71"/>
  <c r="CL2" i="71"/>
  <c r="CK2" i="71"/>
  <c r="CJ2" i="71"/>
  <c r="CH2" i="71"/>
  <c r="CG2" i="71"/>
  <c r="CF2" i="71"/>
  <c r="CE2" i="71"/>
  <c r="CD2" i="71"/>
  <c r="CC2" i="71"/>
  <c r="CB2" i="71"/>
  <c r="CA2" i="71"/>
  <c r="BZ2" i="71"/>
  <c r="BY2" i="71"/>
  <c r="BX2" i="71"/>
  <c r="BW2" i="71"/>
  <c r="BV2" i="71"/>
  <c r="BU2" i="71"/>
  <c r="BT2" i="71"/>
  <c r="BS2" i="71"/>
  <c r="BR2" i="71"/>
  <c r="BQ2" i="71"/>
  <c r="BP2" i="71"/>
  <c r="BO2" i="71"/>
  <c r="BN2" i="71"/>
  <c r="BM2" i="71"/>
  <c r="BL2" i="71"/>
  <c r="BK2" i="71"/>
  <c r="BJ2" i="71"/>
  <c r="BI2" i="71"/>
  <c r="BH2" i="71"/>
  <c r="BF2" i="71"/>
  <c r="BE2" i="71"/>
  <c r="BD2" i="71"/>
  <c r="BC2" i="71"/>
  <c r="BB2" i="71"/>
  <c r="BA2" i="71"/>
  <c r="AZ2" i="71"/>
  <c r="AY2" i="71"/>
  <c r="AX2" i="71"/>
  <c r="AW2" i="71"/>
  <c r="AV2" i="71"/>
  <c r="AU2" i="71"/>
  <c r="AT2" i="71"/>
  <c r="AS2" i="71"/>
  <c r="AR2" i="71"/>
  <c r="AQ2" i="71"/>
  <c r="AP2" i="71"/>
  <c r="AO2" i="71"/>
  <c r="AN2" i="71"/>
  <c r="AM2" i="71"/>
  <c r="AL2" i="71"/>
  <c r="AK2" i="71"/>
  <c r="AJ2" i="71"/>
  <c r="AI2" i="71"/>
  <c r="AH2" i="71"/>
  <c r="AG2" i="71"/>
  <c r="AF2" i="71"/>
  <c r="AD2" i="71"/>
  <c r="AC2" i="71"/>
  <c r="AB2" i="71"/>
  <c r="AA2" i="71"/>
  <c r="Z2" i="71"/>
  <c r="Y2" i="71"/>
  <c r="X2" i="71"/>
  <c r="W2" i="71"/>
  <c r="V2" i="71"/>
  <c r="U2" i="71"/>
  <c r="T2" i="7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D2" i="71"/>
  <c r="DJ4" i="70"/>
  <c r="DI4" i="70"/>
  <c r="DH4" i="70"/>
  <c r="DG4" i="70"/>
  <c r="DF4" i="70"/>
  <c r="DE4" i="70"/>
  <c r="DD4" i="70"/>
  <c r="DC4" i="70"/>
  <c r="DB4" i="70"/>
  <c r="DA4" i="70"/>
  <c r="CZ4" i="70"/>
  <c r="CY4" i="70"/>
  <c r="CX4" i="70"/>
  <c r="CW4" i="70"/>
  <c r="CV4" i="70"/>
  <c r="CU4" i="70"/>
  <c r="CT4" i="70"/>
  <c r="CS4" i="70"/>
  <c r="CR4" i="70"/>
  <c r="CQ4" i="70"/>
  <c r="CP4" i="70"/>
  <c r="CO4" i="70"/>
  <c r="CN4" i="70"/>
  <c r="CM4" i="70"/>
  <c r="CL4" i="70"/>
  <c r="CK4" i="70"/>
  <c r="CJ4" i="70"/>
  <c r="CH4" i="70"/>
  <c r="CG4" i="70"/>
  <c r="CF4" i="70"/>
  <c r="CE4" i="70"/>
  <c r="CD4" i="70"/>
  <c r="CC4" i="70"/>
  <c r="CB4" i="70"/>
  <c r="CA4" i="70"/>
  <c r="BZ4" i="70"/>
  <c r="BY4" i="70"/>
  <c r="BX4" i="70"/>
  <c r="BW4" i="70"/>
  <c r="BV4" i="70"/>
  <c r="BU4" i="70"/>
  <c r="BT4" i="70"/>
  <c r="BS4" i="70"/>
  <c r="BR4" i="70"/>
  <c r="BQ4" i="70"/>
  <c r="BP4" i="70"/>
  <c r="BO4" i="70"/>
  <c r="BN4" i="70"/>
  <c r="BM4" i="70"/>
  <c r="BL4" i="70"/>
  <c r="BK4" i="70"/>
  <c r="BJ4" i="70"/>
  <c r="BI4" i="70"/>
  <c r="BH4" i="70"/>
  <c r="BF4" i="70"/>
  <c r="BE4" i="70"/>
  <c r="BD4" i="70"/>
  <c r="BC4" i="70"/>
  <c r="BB4" i="70"/>
  <c r="BA4" i="70"/>
  <c r="AZ4" i="70"/>
  <c r="AY4" i="70"/>
  <c r="AX4" i="70"/>
  <c r="AW4" i="70"/>
  <c r="AV4" i="70"/>
  <c r="AU4" i="70"/>
  <c r="AT4" i="70"/>
  <c r="AS4" i="70"/>
  <c r="AR4" i="70"/>
  <c r="AQ4" i="70"/>
  <c r="AP4" i="70"/>
  <c r="AO4" i="70"/>
  <c r="AN4" i="70"/>
  <c r="AM4" i="70"/>
  <c r="AL4" i="70"/>
  <c r="AK4" i="70"/>
  <c r="AJ4" i="70"/>
  <c r="AI4" i="70"/>
  <c r="AH4" i="70"/>
  <c r="AG4" i="70"/>
  <c r="AF4" i="70"/>
  <c r="AD4" i="70"/>
  <c r="AC4" i="70"/>
  <c r="AB4" i="70"/>
  <c r="AA4" i="70"/>
  <c r="Z4" i="70"/>
  <c r="Y4" i="70"/>
  <c r="X4" i="70"/>
  <c r="W4" i="70"/>
  <c r="V4" i="70"/>
  <c r="U4" i="70"/>
  <c r="T4" i="70"/>
  <c r="S4" i="70"/>
  <c r="R4" i="70"/>
  <c r="Q4" i="70"/>
  <c r="P4" i="70"/>
  <c r="O4" i="70"/>
  <c r="N4" i="70"/>
  <c r="M4" i="70"/>
  <c r="L4" i="70"/>
  <c r="K4" i="70"/>
  <c r="J4" i="70"/>
  <c r="I4" i="70"/>
  <c r="H4" i="70"/>
  <c r="G4" i="70"/>
  <c r="F4" i="70"/>
  <c r="E4" i="70"/>
  <c r="D4" i="70"/>
  <c r="C4" i="70"/>
  <c r="DK3" i="70"/>
  <c r="DJ3" i="70"/>
  <c r="DI3" i="70"/>
  <c r="DH3" i="70"/>
  <c r="DG3" i="70"/>
  <c r="DF3" i="70"/>
  <c r="DE3" i="70"/>
  <c r="DD3" i="70"/>
  <c r="DC3" i="70"/>
  <c r="DB3" i="70"/>
  <c r="DA3" i="70"/>
  <c r="CZ3" i="70"/>
  <c r="CY3" i="70"/>
  <c r="CX3" i="70"/>
  <c r="CW3" i="70"/>
  <c r="CV3" i="70"/>
  <c r="CU3" i="70"/>
  <c r="CT3" i="70"/>
  <c r="CS3" i="70"/>
  <c r="CR3" i="70"/>
  <c r="CQ3" i="70"/>
  <c r="CP3" i="70"/>
  <c r="CO3" i="70"/>
  <c r="CN3" i="70"/>
  <c r="CM3" i="70"/>
  <c r="CL3" i="70"/>
  <c r="CK3" i="70"/>
  <c r="CJ3" i="70"/>
  <c r="CI3" i="70"/>
  <c r="CH3" i="70"/>
  <c r="CG3" i="70"/>
  <c r="CF3" i="70"/>
  <c r="CE3" i="70"/>
  <c r="CD3" i="70"/>
  <c r="CC3" i="70"/>
  <c r="CB3" i="70"/>
  <c r="CA3" i="70"/>
  <c r="BZ3" i="70"/>
  <c r="BY3" i="70"/>
  <c r="BX3" i="70"/>
  <c r="BW3" i="70"/>
  <c r="BV3" i="70"/>
  <c r="BU3" i="70"/>
  <c r="BT3" i="70"/>
  <c r="BS3" i="70"/>
  <c r="BR3" i="70"/>
  <c r="BQ3" i="70"/>
  <c r="BP3" i="70"/>
  <c r="BO3" i="70"/>
  <c r="BN3" i="70"/>
  <c r="BM3" i="70"/>
  <c r="BL3" i="70"/>
  <c r="BK3" i="70"/>
  <c r="BJ3" i="70"/>
  <c r="BI3" i="70"/>
  <c r="BH3" i="70"/>
  <c r="BG3" i="70"/>
  <c r="BF3" i="70"/>
  <c r="BE3" i="70"/>
  <c r="BD3" i="70"/>
  <c r="BC3" i="70"/>
  <c r="BB3" i="70"/>
  <c r="BA3" i="70"/>
  <c r="AZ3" i="70"/>
  <c r="AY3" i="70"/>
  <c r="AX3" i="70"/>
  <c r="AW3" i="70"/>
  <c r="AV3" i="70"/>
  <c r="AU3" i="70"/>
  <c r="AT3" i="70"/>
  <c r="AS3" i="70"/>
  <c r="AR3" i="70"/>
  <c r="AQ3" i="70"/>
  <c r="AP3" i="70"/>
  <c r="AO3" i="70"/>
  <c r="AN3" i="70"/>
  <c r="AM3" i="70"/>
  <c r="AL3" i="70"/>
  <c r="AK3" i="70"/>
  <c r="AJ3" i="70"/>
  <c r="AI3" i="70"/>
  <c r="AH3" i="70"/>
  <c r="AG3" i="70"/>
  <c r="AF3" i="70"/>
  <c r="AE3" i="70"/>
  <c r="AD3" i="70"/>
  <c r="AC3" i="70"/>
  <c r="AB3" i="70"/>
  <c r="AA3" i="70"/>
  <c r="Z3" i="70"/>
  <c r="Y3" i="70"/>
  <c r="X3" i="70"/>
  <c r="W3" i="70"/>
  <c r="V3" i="70"/>
  <c r="U3" i="70"/>
  <c r="T3" i="70"/>
  <c r="S3" i="70"/>
  <c r="R3" i="70"/>
  <c r="Q3" i="70"/>
  <c r="P3" i="70"/>
  <c r="O3" i="70"/>
  <c r="N3" i="70"/>
  <c r="M3" i="70"/>
  <c r="L3" i="70"/>
  <c r="K3" i="70"/>
  <c r="J3" i="70"/>
  <c r="I3" i="70"/>
  <c r="H3" i="70"/>
  <c r="G3" i="70"/>
  <c r="F3" i="70"/>
  <c r="E3" i="70"/>
  <c r="D3" i="70"/>
  <c r="B3" i="70"/>
  <c r="C33" i="70" s="1"/>
  <c r="A33" i="70" s="1"/>
  <c r="DJ2" i="70"/>
  <c r="DI2" i="70"/>
  <c r="DH2" i="70"/>
  <c r="DG2" i="70"/>
  <c r="DF2" i="70"/>
  <c r="DE2" i="70"/>
  <c r="DD2" i="70"/>
  <c r="DC2" i="70"/>
  <c r="DB2" i="70"/>
  <c r="DA2" i="70"/>
  <c r="CZ2" i="70"/>
  <c r="CY2" i="70"/>
  <c r="CX2" i="70"/>
  <c r="CW2" i="70"/>
  <c r="CV2" i="70"/>
  <c r="CU2" i="70"/>
  <c r="CT2" i="70"/>
  <c r="CS2" i="70"/>
  <c r="CR2" i="70"/>
  <c r="CQ2" i="70"/>
  <c r="CP2" i="70"/>
  <c r="CO2" i="70"/>
  <c r="CN2" i="70"/>
  <c r="CM2" i="70"/>
  <c r="CL2" i="70"/>
  <c r="CK2" i="70"/>
  <c r="CJ2" i="70"/>
  <c r="CH2" i="70"/>
  <c r="CG2" i="70"/>
  <c r="CF2" i="70"/>
  <c r="CE2" i="70"/>
  <c r="CD2" i="70"/>
  <c r="CC2" i="70"/>
  <c r="CB2" i="70"/>
  <c r="CA2" i="70"/>
  <c r="BZ2" i="70"/>
  <c r="BY2" i="70"/>
  <c r="BX2" i="70"/>
  <c r="BW2" i="70"/>
  <c r="BV2" i="70"/>
  <c r="BU2" i="70"/>
  <c r="BT2" i="70"/>
  <c r="BS2" i="70"/>
  <c r="BR2" i="70"/>
  <c r="BQ2" i="70"/>
  <c r="BP2" i="70"/>
  <c r="BO2" i="70"/>
  <c r="BN2" i="70"/>
  <c r="BM2" i="70"/>
  <c r="BL2" i="70"/>
  <c r="BK2" i="70"/>
  <c r="BJ2" i="70"/>
  <c r="BI2" i="70"/>
  <c r="BH2" i="70"/>
  <c r="BF2" i="70"/>
  <c r="BE2" i="70"/>
  <c r="BD2" i="70"/>
  <c r="BC2" i="70"/>
  <c r="BB2" i="70"/>
  <c r="BA2" i="70"/>
  <c r="AZ2" i="70"/>
  <c r="AY2" i="70"/>
  <c r="AX2" i="70"/>
  <c r="AW2" i="70"/>
  <c r="AV2" i="70"/>
  <c r="AU2" i="70"/>
  <c r="AT2" i="70"/>
  <c r="AS2" i="70"/>
  <c r="AR2" i="70"/>
  <c r="AQ2" i="70"/>
  <c r="AP2" i="70"/>
  <c r="AO2" i="70"/>
  <c r="AN2" i="70"/>
  <c r="AM2" i="70"/>
  <c r="AL2" i="70"/>
  <c r="AK2" i="70"/>
  <c r="AJ2" i="70"/>
  <c r="AI2" i="70"/>
  <c r="AH2" i="70"/>
  <c r="AG2" i="70"/>
  <c r="AF2" i="70"/>
  <c r="AD2" i="70"/>
  <c r="AC2" i="70"/>
  <c r="AB2" i="70"/>
  <c r="AA2" i="70"/>
  <c r="Z2" i="70"/>
  <c r="Y2" i="70"/>
  <c r="X2" i="70"/>
  <c r="W2" i="70"/>
  <c r="V2" i="70"/>
  <c r="U2" i="70"/>
  <c r="T2" i="70"/>
  <c r="S2" i="70"/>
  <c r="R2" i="70"/>
  <c r="Q2" i="70"/>
  <c r="P2" i="70"/>
  <c r="O2" i="70"/>
  <c r="N2" i="70"/>
  <c r="M2" i="70"/>
  <c r="L2" i="70"/>
  <c r="K2" i="70"/>
  <c r="J2" i="70"/>
  <c r="I2" i="70"/>
  <c r="H2" i="70"/>
  <c r="G2" i="70"/>
  <c r="F2" i="70"/>
  <c r="E2" i="70"/>
  <c r="D2" i="70"/>
  <c r="C35" i="69"/>
  <c r="A35" i="69" s="1"/>
  <c r="C34" i="69"/>
  <c r="A34" i="69" s="1"/>
  <c r="C33" i="69"/>
  <c r="A33" i="69" s="1"/>
  <c r="C32" i="69"/>
  <c r="A32" i="69" s="1"/>
  <c r="C31" i="69"/>
  <c r="A31" i="69" s="1"/>
  <c r="C30" i="69"/>
  <c r="A30" i="69" s="1"/>
  <c r="C29" i="69"/>
  <c r="A29" i="69" s="1"/>
  <c r="C28" i="69"/>
  <c r="A28" i="69" s="1"/>
  <c r="C27" i="69"/>
  <c r="A27" i="69" s="1"/>
  <c r="C26" i="69"/>
  <c r="A26" i="69" s="1"/>
  <c r="C25" i="69"/>
  <c r="A25" i="69" s="1"/>
  <c r="C24" i="69"/>
  <c r="A24" i="69" s="1"/>
  <c r="C23" i="69"/>
  <c r="A23" i="69" s="1"/>
  <c r="C22" i="69"/>
  <c r="A22" i="69" s="1"/>
  <c r="C21" i="69"/>
  <c r="A21" i="69" s="1"/>
  <c r="C20" i="69"/>
  <c r="A20" i="69" s="1"/>
  <c r="C19" i="69"/>
  <c r="A19" i="69" s="1"/>
  <c r="C18" i="69"/>
  <c r="A18" i="69" s="1"/>
  <c r="C17" i="69"/>
  <c r="A17" i="69" s="1"/>
  <c r="C16" i="69"/>
  <c r="A16" i="69" s="1"/>
  <c r="C15" i="69"/>
  <c r="A15" i="69" s="1"/>
  <c r="C14" i="69"/>
  <c r="A14" i="69" s="1"/>
  <c r="C13" i="69"/>
  <c r="A13" i="69" s="1"/>
  <c r="C12" i="69"/>
  <c r="A12" i="69" s="1"/>
  <c r="C11" i="69"/>
  <c r="A11" i="69" s="1"/>
  <c r="C10" i="69"/>
  <c r="A10" i="69" s="1"/>
  <c r="C9" i="69"/>
  <c r="A9" i="69" s="1"/>
  <c r="C8" i="69"/>
  <c r="A8" i="69" s="1"/>
  <c r="C7" i="69"/>
  <c r="A7" i="69" s="1"/>
  <c r="C6" i="69"/>
  <c r="A6" i="69" s="1"/>
  <c r="C5" i="69"/>
  <c r="A5" i="69" s="1"/>
  <c r="DJ4" i="69"/>
  <c r="DI4" i="69"/>
  <c r="DH4" i="69"/>
  <c r="DG4" i="69"/>
  <c r="DF4" i="69"/>
  <c r="DE4" i="69"/>
  <c r="DD4" i="69"/>
  <c r="DC4" i="69"/>
  <c r="DB4" i="69"/>
  <c r="DA4" i="69"/>
  <c r="CZ4" i="69"/>
  <c r="CY4" i="69"/>
  <c r="CX4" i="69"/>
  <c r="CW4" i="69"/>
  <c r="CV4" i="69"/>
  <c r="CU4" i="69"/>
  <c r="CT4" i="69"/>
  <c r="CS4" i="69"/>
  <c r="CR4" i="69"/>
  <c r="CQ4" i="69"/>
  <c r="CP4" i="69"/>
  <c r="CO4" i="69"/>
  <c r="CN4" i="69"/>
  <c r="CM4" i="69"/>
  <c r="CL4" i="69"/>
  <c r="CK4" i="69"/>
  <c r="CJ4" i="69"/>
  <c r="CH4" i="69"/>
  <c r="CG4" i="69"/>
  <c r="CF4" i="69"/>
  <c r="CE4" i="69"/>
  <c r="CD4" i="69"/>
  <c r="CC4" i="69"/>
  <c r="CB4" i="69"/>
  <c r="CA4" i="69"/>
  <c r="BZ4" i="69"/>
  <c r="BY4" i="69"/>
  <c r="BX4" i="69"/>
  <c r="BW4" i="69"/>
  <c r="BV4" i="69"/>
  <c r="BU4" i="69"/>
  <c r="BT4" i="69"/>
  <c r="BS4" i="69"/>
  <c r="BR4" i="69"/>
  <c r="BQ4" i="69"/>
  <c r="BP4" i="69"/>
  <c r="BO4" i="69"/>
  <c r="BN4" i="69"/>
  <c r="BM4" i="69"/>
  <c r="BL4" i="69"/>
  <c r="BK4" i="69"/>
  <c r="BJ4" i="69"/>
  <c r="BI4" i="69"/>
  <c r="BH4" i="69"/>
  <c r="BF4" i="69"/>
  <c r="BE4" i="69"/>
  <c r="BD4" i="69"/>
  <c r="BC4" i="69"/>
  <c r="BB4" i="69"/>
  <c r="BA4" i="69"/>
  <c r="AZ4" i="69"/>
  <c r="AY4" i="69"/>
  <c r="AX4" i="69"/>
  <c r="AW4" i="69"/>
  <c r="AV4" i="69"/>
  <c r="AU4" i="69"/>
  <c r="AT4" i="69"/>
  <c r="AS4" i="69"/>
  <c r="AR4" i="69"/>
  <c r="AQ4" i="69"/>
  <c r="AP4" i="69"/>
  <c r="AO4" i="69"/>
  <c r="AN4" i="69"/>
  <c r="AM4" i="69"/>
  <c r="AL4" i="69"/>
  <c r="AK4" i="69"/>
  <c r="AJ4" i="69"/>
  <c r="AI4" i="69"/>
  <c r="AH4" i="69"/>
  <c r="AG4" i="69"/>
  <c r="AF4" i="69"/>
  <c r="AD4" i="69"/>
  <c r="AC4" i="69"/>
  <c r="AB4" i="69"/>
  <c r="AA4" i="69"/>
  <c r="Z4" i="69"/>
  <c r="Y4" i="69"/>
  <c r="X4" i="69"/>
  <c r="W4" i="69"/>
  <c r="V4" i="69"/>
  <c r="U4" i="69"/>
  <c r="T4" i="69"/>
  <c r="S4" i="69"/>
  <c r="R4" i="69"/>
  <c r="Q4" i="69"/>
  <c r="P4" i="69"/>
  <c r="O4" i="69"/>
  <c r="N4" i="69"/>
  <c r="M4" i="69"/>
  <c r="L4" i="69"/>
  <c r="K4" i="69"/>
  <c r="J4" i="69"/>
  <c r="I4" i="69"/>
  <c r="H4" i="69"/>
  <c r="G4" i="69"/>
  <c r="F4" i="69"/>
  <c r="E4" i="69"/>
  <c r="D4" i="69"/>
  <c r="C4" i="69"/>
  <c r="DK3" i="69"/>
  <c r="DJ3" i="69"/>
  <c r="DI3" i="69"/>
  <c r="DH3" i="69"/>
  <c r="DG3" i="69"/>
  <c r="DF3" i="69"/>
  <c r="DE3" i="69"/>
  <c r="DD3" i="69"/>
  <c r="DC3" i="69"/>
  <c r="DB3" i="69"/>
  <c r="DA3" i="69"/>
  <c r="CZ3" i="69"/>
  <c r="CY3" i="69"/>
  <c r="CX3" i="69"/>
  <c r="CW3" i="69"/>
  <c r="CV3" i="69"/>
  <c r="CU3" i="69"/>
  <c r="CT3" i="69"/>
  <c r="CS3" i="69"/>
  <c r="CR3" i="69"/>
  <c r="CQ3" i="69"/>
  <c r="CP3" i="69"/>
  <c r="CO3" i="69"/>
  <c r="CN3" i="69"/>
  <c r="CM3" i="69"/>
  <c r="CL3" i="69"/>
  <c r="CK3" i="69"/>
  <c r="CJ3" i="69"/>
  <c r="CI3" i="69"/>
  <c r="CH3" i="69"/>
  <c r="CG3" i="69"/>
  <c r="CF3" i="69"/>
  <c r="CE3" i="69"/>
  <c r="CD3" i="69"/>
  <c r="CC3" i="69"/>
  <c r="CB3" i="69"/>
  <c r="CA3" i="69"/>
  <c r="BZ3" i="69"/>
  <c r="BY3" i="69"/>
  <c r="BX3" i="69"/>
  <c r="BW3" i="69"/>
  <c r="BV3" i="69"/>
  <c r="BU3" i="69"/>
  <c r="BT3" i="69"/>
  <c r="BS3" i="69"/>
  <c r="BR3" i="69"/>
  <c r="BQ3" i="69"/>
  <c r="BP3" i="69"/>
  <c r="BO3" i="69"/>
  <c r="BN3" i="69"/>
  <c r="BM3" i="69"/>
  <c r="BL3" i="69"/>
  <c r="BK3" i="69"/>
  <c r="BJ3" i="69"/>
  <c r="BI3" i="69"/>
  <c r="BH3" i="69"/>
  <c r="BG3" i="69"/>
  <c r="BF3" i="69"/>
  <c r="BE3" i="69"/>
  <c r="BD3" i="69"/>
  <c r="BC3" i="69"/>
  <c r="BB3" i="69"/>
  <c r="BA3" i="69"/>
  <c r="AZ3" i="69"/>
  <c r="AY3" i="69"/>
  <c r="AX3" i="69"/>
  <c r="AW3" i="69"/>
  <c r="AV3" i="69"/>
  <c r="AU3" i="69"/>
  <c r="AT3" i="69"/>
  <c r="AS3" i="69"/>
  <c r="AR3" i="69"/>
  <c r="AQ3" i="69"/>
  <c r="AP3" i="69"/>
  <c r="AO3" i="69"/>
  <c r="AN3" i="69"/>
  <c r="AM3" i="69"/>
  <c r="AL3" i="69"/>
  <c r="AK3" i="69"/>
  <c r="AJ3" i="69"/>
  <c r="AI3" i="69"/>
  <c r="AH3" i="69"/>
  <c r="AG3" i="69"/>
  <c r="AF3" i="69"/>
  <c r="AE3" i="69"/>
  <c r="AD3" i="69"/>
  <c r="AC3" i="69"/>
  <c r="AB3" i="69"/>
  <c r="AA3" i="69"/>
  <c r="Z3" i="69"/>
  <c r="Y3" i="69"/>
  <c r="X3" i="69"/>
  <c r="W3" i="69"/>
  <c r="V3" i="69"/>
  <c r="U3" i="69"/>
  <c r="T3" i="69"/>
  <c r="S3" i="69"/>
  <c r="R3" i="69"/>
  <c r="Q3" i="69"/>
  <c r="P3" i="69"/>
  <c r="O3" i="69"/>
  <c r="N3" i="69"/>
  <c r="M3" i="69"/>
  <c r="L3" i="69"/>
  <c r="K3" i="69"/>
  <c r="J3" i="69"/>
  <c r="I3" i="69"/>
  <c r="H3" i="69"/>
  <c r="G3" i="69"/>
  <c r="F3" i="69"/>
  <c r="E3" i="69"/>
  <c r="D3" i="69"/>
  <c r="B3" i="69"/>
  <c r="DJ2" i="69"/>
  <c r="DI2" i="69"/>
  <c r="DH2" i="69"/>
  <c r="DG2" i="69"/>
  <c r="DF2" i="69"/>
  <c r="DE2" i="69"/>
  <c r="DD2" i="69"/>
  <c r="DC2" i="69"/>
  <c r="DB2" i="69"/>
  <c r="DA2" i="69"/>
  <c r="CZ2" i="69"/>
  <c r="CY2" i="69"/>
  <c r="CX2" i="69"/>
  <c r="CW2" i="69"/>
  <c r="CV2" i="69"/>
  <c r="CU2" i="69"/>
  <c r="CT2" i="69"/>
  <c r="CS2" i="69"/>
  <c r="CR2" i="69"/>
  <c r="CQ2" i="69"/>
  <c r="CP2" i="69"/>
  <c r="CO2" i="69"/>
  <c r="CN2" i="69"/>
  <c r="CM2" i="69"/>
  <c r="CL2" i="69"/>
  <c r="CK2" i="69"/>
  <c r="CJ2" i="69"/>
  <c r="CH2" i="69"/>
  <c r="CG2" i="69"/>
  <c r="CF2" i="69"/>
  <c r="CE2" i="69"/>
  <c r="CD2" i="69"/>
  <c r="CC2" i="69"/>
  <c r="CB2" i="69"/>
  <c r="CA2" i="69"/>
  <c r="BZ2" i="69"/>
  <c r="BY2" i="69"/>
  <c r="BX2" i="69"/>
  <c r="BW2" i="69"/>
  <c r="BV2" i="69"/>
  <c r="BU2" i="69"/>
  <c r="BT2" i="69"/>
  <c r="BS2" i="69"/>
  <c r="BR2" i="69"/>
  <c r="BQ2" i="69"/>
  <c r="BP2" i="69"/>
  <c r="BO2" i="69"/>
  <c r="BN2" i="69"/>
  <c r="BM2" i="69"/>
  <c r="BL2" i="69"/>
  <c r="BK2" i="69"/>
  <c r="BJ2" i="69"/>
  <c r="BI2" i="69"/>
  <c r="BH2" i="69"/>
  <c r="BF2" i="69"/>
  <c r="BE2" i="69"/>
  <c r="BD2" i="69"/>
  <c r="BC2" i="69"/>
  <c r="BB2" i="69"/>
  <c r="BA2" i="69"/>
  <c r="AZ2" i="69"/>
  <c r="AY2" i="69"/>
  <c r="AX2" i="69"/>
  <c r="AW2" i="69"/>
  <c r="AV2" i="69"/>
  <c r="AU2" i="69"/>
  <c r="AT2" i="69"/>
  <c r="AS2" i="69"/>
  <c r="AR2" i="69"/>
  <c r="AQ2" i="69"/>
  <c r="AP2" i="69"/>
  <c r="AO2" i="69"/>
  <c r="AN2" i="69"/>
  <c r="AM2" i="69"/>
  <c r="AL2" i="69"/>
  <c r="AK2" i="69"/>
  <c r="AJ2" i="69"/>
  <c r="AI2" i="69"/>
  <c r="AH2" i="69"/>
  <c r="AG2" i="69"/>
  <c r="AF2" i="69"/>
  <c r="AD2" i="69"/>
  <c r="AC2" i="69"/>
  <c r="AB2" i="69"/>
  <c r="AA2" i="69"/>
  <c r="Z2" i="69"/>
  <c r="Y2" i="69"/>
  <c r="X2" i="69"/>
  <c r="W2" i="69"/>
  <c r="V2" i="69"/>
  <c r="U2" i="69"/>
  <c r="T2" i="69"/>
  <c r="S2" i="69"/>
  <c r="R2" i="69"/>
  <c r="Q2" i="69"/>
  <c r="P2" i="69"/>
  <c r="O2" i="69"/>
  <c r="N2" i="69"/>
  <c r="M2" i="69"/>
  <c r="L2" i="69"/>
  <c r="K2" i="69"/>
  <c r="J2" i="69"/>
  <c r="I2" i="69"/>
  <c r="H2" i="69"/>
  <c r="G2" i="69"/>
  <c r="F2" i="69"/>
  <c r="E2" i="69"/>
  <c r="D2" i="69"/>
  <c r="C35" i="68"/>
  <c r="A35" i="68" s="1"/>
  <c r="C34" i="68"/>
  <c r="A34" i="68" s="1"/>
  <c r="C33" i="68"/>
  <c r="A33" i="68" s="1"/>
  <c r="C32" i="68"/>
  <c r="A32" i="68" s="1"/>
  <c r="C31" i="68"/>
  <c r="A31" i="68" s="1"/>
  <c r="C30" i="68"/>
  <c r="A30" i="68" s="1"/>
  <c r="C29" i="68"/>
  <c r="A29" i="68" s="1"/>
  <c r="C28" i="68"/>
  <c r="A28" i="68" s="1"/>
  <c r="C27" i="68"/>
  <c r="A27" i="68" s="1"/>
  <c r="C26" i="68"/>
  <c r="A26" i="68" s="1"/>
  <c r="C25" i="68"/>
  <c r="A25" i="68" s="1"/>
  <c r="C24" i="68"/>
  <c r="A24" i="68" s="1"/>
  <c r="C23" i="68"/>
  <c r="A23" i="68" s="1"/>
  <c r="C22" i="68"/>
  <c r="A22" i="68" s="1"/>
  <c r="C21" i="68"/>
  <c r="A21" i="68" s="1"/>
  <c r="C20" i="68"/>
  <c r="A20" i="68" s="1"/>
  <c r="C19" i="68"/>
  <c r="A19" i="68" s="1"/>
  <c r="C18" i="68"/>
  <c r="A18" i="68" s="1"/>
  <c r="C17" i="68"/>
  <c r="A17" i="68" s="1"/>
  <c r="C16" i="68"/>
  <c r="A16" i="68" s="1"/>
  <c r="C15" i="68"/>
  <c r="A15" i="68" s="1"/>
  <c r="C14" i="68"/>
  <c r="A14" i="68" s="1"/>
  <c r="C13" i="68"/>
  <c r="A13" i="68" s="1"/>
  <c r="C12" i="68"/>
  <c r="A12" i="68" s="1"/>
  <c r="C11" i="68"/>
  <c r="A11" i="68" s="1"/>
  <c r="C10" i="68"/>
  <c r="A10" i="68" s="1"/>
  <c r="C9" i="68"/>
  <c r="A9" i="68" s="1"/>
  <c r="C8" i="68"/>
  <c r="A8" i="68" s="1"/>
  <c r="C7" i="68"/>
  <c r="A7" i="68" s="1"/>
  <c r="C6" i="68"/>
  <c r="A6" i="68" s="1"/>
  <c r="C5" i="68"/>
  <c r="A5" i="68" s="1"/>
  <c r="DJ4" i="68"/>
  <c r="DI4" i="68"/>
  <c r="DH4" i="68"/>
  <c r="DG4" i="68"/>
  <c r="DF4" i="68"/>
  <c r="DE4" i="68"/>
  <c r="DD4" i="68"/>
  <c r="DC4" i="68"/>
  <c r="DB4" i="68"/>
  <c r="DA4" i="68"/>
  <c r="CZ4" i="68"/>
  <c r="CY4" i="68"/>
  <c r="CX4" i="68"/>
  <c r="CW4" i="68"/>
  <c r="CV4" i="68"/>
  <c r="CU4" i="68"/>
  <c r="CT4" i="68"/>
  <c r="CS4" i="68"/>
  <c r="CR4" i="68"/>
  <c r="CQ4" i="68"/>
  <c r="CP4" i="68"/>
  <c r="CO4" i="68"/>
  <c r="CN4" i="68"/>
  <c r="CM4" i="68"/>
  <c r="CL4" i="68"/>
  <c r="CK4" i="68"/>
  <c r="CJ4" i="68"/>
  <c r="CH4" i="68"/>
  <c r="CG4" i="68"/>
  <c r="CF4" i="68"/>
  <c r="CE4" i="68"/>
  <c r="CD4" i="68"/>
  <c r="CC4" i="68"/>
  <c r="CB4" i="68"/>
  <c r="CA4" i="68"/>
  <c r="BZ4" i="68"/>
  <c r="BY4" i="68"/>
  <c r="BX4" i="68"/>
  <c r="BW4" i="68"/>
  <c r="BV4" i="68"/>
  <c r="BU4" i="68"/>
  <c r="BT4" i="68"/>
  <c r="BS4" i="68"/>
  <c r="BR4" i="68"/>
  <c r="BQ4" i="68"/>
  <c r="BP4" i="68"/>
  <c r="BO4" i="68"/>
  <c r="BN4" i="68"/>
  <c r="BM4" i="68"/>
  <c r="BL4" i="68"/>
  <c r="BK4" i="68"/>
  <c r="BJ4" i="68"/>
  <c r="BI4" i="68"/>
  <c r="BH4" i="68"/>
  <c r="BF4" i="68"/>
  <c r="BE4" i="68"/>
  <c r="BD4" i="68"/>
  <c r="BC4" i="68"/>
  <c r="BB4" i="68"/>
  <c r="BA4" i="68"/>
  <c r="AZ4" i="68"/>
  <c r="AY4" i="68"/>
  <c r="AX4" i="68"/>
  <c r="AW4" i="68"/>
  <c r="AV4" i="68"/>
  <c r="AU4" i="68"/>
  <c r="AT4" i="68"/>
  <c r="AS4" i="68"/>
  <c r="AR4" i="68"/>
  <c r="AQ4" i="68"/>
  <c r="AP4" i="68"/>
  <c r="AO4" i="68"/>
  <c r="AN4" i="68"/>
  <c r="AM4" i="68"/>
  <c r="AL4" i="68"/>
  <c r="AK4" i="68"/>
  <c r="AJ4" i="68"/>
  <c r="AI4" i="68"/>
  <c r="AH4" i="68"/>
  <c r="AG4" i="68"/>
  <c r="AF4" i="68"/>
  <c r="AD4" i="68"/>
  <c r="AC4" i="68"/>
  <c r="AB4" i="68"/>
  <c r="AA4" i="68"/>
  <c r="Z4" i="68"/>
  <c r="Y4" i="68"/>
  <c r="X4" i="68"/>
  <c r="W4" i="68"/>
  <c r="V4" i="68"/>
  <c r="U4" i="68"/>
  <c r="T4" i="68"/>
  <c r="S4" i="68"/>
  <c r="R4" i="68"/>
  <c r="Q4" i="68"/>
  <c r="P4" i="68"/>
  <c r="O4" i="68"/>
  <c r="N4" i="68"/>
  <c r="M4" i="68"/>
  <c r="L4" i="68"/>
  <c r="K4" i="68"/>
  <c r="J4" i="68"/>
  <c r="I4" i="68"/>
  <c r="H4" i="68"/>
  <c r="G4" i="68"/>
  <c r="F4" i="68"/>
  <c r="E4" i="68"/>
  <c r="D4" i="68"/>
  <c r="C4" i="68"/>
  <c r="DK3" i="68"/>
  <c r="DJ3" i="68"/>
  <c r="DI3" i="68"/>
  <c r="DH3" i="68"/>
  <c r="DG3" i="68"/>
  <c r="DF3" i="68"/>
  <c r="DE3" i="68"/>
  <c r="DD3" i="68"/>
  <c r="DC3" i="68"/>
  <c r="DB3" i="68"/>
  <c r="DA3" i="68"/>
  <c r="CZ3" i="68"/>
  <c r="CY3" i="68"/>
  <c r="CX3" i="68"/>
  <c r="CW3" i="68"/>
  <c r="CV3" i="68"/>
  <c r="CU3" i="68"/>
  <c r="CT3" i="68"/>
  <c r="CS3" i="68"/>
  <c r="CR3" i="68"/>
  <c r="CQ3" i="68"/>
  <c r="CP3" i="68"/>
  <c r="CO3" i="68"/>
  <c r="CN3" i="68"/>
  <c r="CM3" i="68"/>
  <c r="CL3" i="68"/>
  <c r="CK3" i="68"/>
  <c r="CJ3" i="68"/>
  <c r="CI3" i="68"/>
  <c r="CH3" i="68"/>
  <c r="CG3" i="68"/>
  <c r="CF3" i="68"/>
  <c r="CE3" i="68"/>
  <c r="CD3" i="68"/>
  <c r="CC3" i="68"/>
  <c r="CB3" i="68"/>
  <c r="CA3" i="68"/>
  <c r="BZ3" i="68"/>
  <c r="BY3" i="68"/>
  <c r="BX3" i="68"/>
  <c r="BW3" i="68"/>
  <c r="BV3" i="68"/>
  <c r="BU3" i="68"/>
  <c r="BT3" i="68"/>
  <c r="BS3" i="68"/>
  <c r="BR3" i="68"/>
  <c r="BQ3" i="68"/>
  <c r="BP3" i="68"/>
  <c r="BO3" i="68"/>
  <c r="BN3" i="68"/>
  <c r="BM3" i="68"/>
  <c r="BL3" i="68"/>
  <c r="BK3" i="68"/>
  <c r="BJ3" i="68"/>
  <c r="BI3" i="68"/>
  <c r="BH3" i="68"/>
  <c r="BG3" i="68"/>
  <c r="BF3" i="68"/>
  <c r="BE3" i="68"/>
  <c r="BD3" i="68"/>
  <c r="BC3" i="68"/>
  <c r="BB3" i="68"/>
  <c r="BA3" i="68"/>
  <c r="AZ3" i="68"/>
  <c r="AY3" i="68"/>
  <c r="AX3" i="68"/>
  <c r="AW3" i="68"/>
  <c r="AV3" i="68"/>
  <c r="AU3" i="68"/>
  <c r="AT3" i="68"/>
  <c r="AS3" i="68"/>
  <c r="AR3" i="68"/>
  <c r="AQ3" i="68"/>
  <c r="AP3" i="68"/>
  <c r="AO3" i="68"/>
  <c r="AN3" i="68"/>
  <c r="AM3" i="68"/>
  <c r="AL3" i="68"/>
  <c r="AK3" i="68"/>
  <c r="AJ3" i="68"/>
  <c r="AI3" i="68"/>
  <c r="AH3" i="68"/>
  <c r="AG3" i="68"/>
  <c r="AF3" i="68"/>
  <c r="AE3" i="68"/>
  <c r="AD3" i="68"/>
  <c r="AC3" i="68"/>
  <c r="AB3" i="68"/>
  <c r="AA3" i="68"/>
  <c r="Z3" i="68"/>
  <c r="Y3" i="68"/>
  <c r="X3" i="68"/>
  <c r="W3" i="68"/>
  <c r="V3" i="68"/>
  <c r="U3" i="68"/>
  <c r="T3" i="68"/>
  <c r="S3" i="68"/>
  <c r="R3" i="68"/>
  <c r="Q3" i="68"/>
  <c r="P3" i="68"/>
  <c r="O3" i="68"/>
  <c r="N3" i="68"/>
  <c r="M3" i="68"/>
  <c r="L3" i="68"/>
  <c r="K3" i="68"/>
  <c r="J3" i="68"/>
  <c r="I3" i="68"/>
  <c r="H3" i="68"/>
  <c r="G3" i="68"/>
  <c r="F3" i="68"/>
  <c r="E3" i="68"/>
  <c r="D3" i="68"/>
  <c r="B3" i="68"/>
  <c r="DJ2" i="68"/>
  <c r="DI2" i="68"/>
  <c r="DH2" i="68"/>
  <c r="DG2" i="68"/>
  <c r="DF2" i="68"/>
  <c r="DE2" i="68"/>
  <c r="DD2" i="68"/>
  <c r="DC2" i="68"/>
  <c r="DB2" i="68"/>
  <c r="DA2" i="68"/>
  <c r="CZ2" i="68"/>
  <c r="CY2" i="68"/>
  <c r="CX2" i="68"/>
  <c r="CW2" i="68"/>
  <c r="CV2" i="68"/>
  <c r="CU2" i="68"/>
  <c r="CT2" i="68"/>
  <c r="CS2" i="68"/>
  <c r="CR2" i="68"/>
  <c r="CQ2" i="68"/>
  <c r="CP2" i="68"/>
  <c r="CO2" i="68"/>
  <c r="CN2" i="68"/>
  <c r="CM2" i="68"/>
  <c r="CL2" i="68"/>
  <c r="CK2" i="68"/>
  <c r="CJ2" i="68"/>
  <c r="CH2" i="68"/>
  <c r="CG2" i="68"/>
  <c r="CF2" i="68"/>
  <c r="CE2" i="68"/>
  <c r="CD2" i="68"/>
  <c r="CC2" i="68"/>
  <c r="CB2" i="68"/>
  <c r="CA2" i="68"/>
  <c r="BZ2" i="68"/>
  <c r="BY2" i="68"/>
  <c r="BX2" i="68"/>
  <c r="BW2" i="68"/>
  <c r="BV2" i="68"/>
  <c r="BU2" i="68"/>
  <c r="BT2" i="68"/>
  <c r="BS2" i="68"/>
  <c r="BR2" i="68"/>
  <c r="BQ2" i="68"/>
  <c r="BP2" i="68"/>
  <c r="BO2" i="68"/>
  <c r="BN2" i="68"/>
  <c r="BM2" i="68"/>
  <c r="BL2" i="68"/>
  <c r="BK2" i="68"/>
  <c r="BJ2" i="68"/>
  <c r="BI2" i="68"/>
  <c r="BH2" i="68"/>
  <c r="BF2" i="68"/>
  <c r="BE2" i="68"/>
  <c r="BD2" i="68"/>
  <c r="BC2" i="68"/>
  <c r="BB2" i="68"/>
  <c r="BA2" i="68"/>
  <c r="AZ2" i="68"/>
  <c r="AY2" i="68"/>
  <c r="AX2" i="68"/>
  <c r="AW2" i="68"/>
  <c r="AV2" i="68"/>
  <c r="AU2" i="68"/>
  <c r="AT2" i="68"/>
  <c r="AS2" i="68"/>
  <c r="AR2" i="68"/>
  <c r="AQ2" i="68"/>
  <c r="AP2" i="68"/>
  <c r="AO2" i="68"/>
  <c r="AN2" i="68"/>
  <c r="AM2" i="68"/>
  <c r="AL2" i="68"/>
  <c r="AK2" i="68"/>
  <c r="AJ2" i="68"/>
  <c r="AI2" i="68"/>
  <c r="AH2" i="68"/>
  <c r="AG2" i="68"/>
  <c r="AF2" i="68"/>
  <c r="AD2" i="68"/>
  <c r="AC2" i="68"/>
  <c r="AB2" i="68"/>
  <c r="AA2" i="68"/>
  <c r="Z2" i="68"/>
  <c r="Y2" i="68"/>
  <c r="X2" i="68"/>
  <c r="W2" i="68"/>
  <c r="V2" i="68"/>
  <c r="U2" i="68"/>
  <c r="T2" i="68"/>
  <c r="S2" i="68"/>
  <c r="R2" i="68"/>
  <c r="Q2" i="68"/>
  <c r="P2" i="68"/>
  <c r="O2" i="68"/>
  <c r="N2" i="68"/>
  <c r="M2" i="68"/>
  <c r="L2" i="68"/>
  <c r="K2" i="68"/>
  <c r="J2" i="68"/>
  <c r="I2" i="68"/>
  <c r="H2" i="68"/>
  <c r="G2" i="68"/>
  <c r="F2" i="68"/>
  <c r="E2" i="68"/>
  <c r="D2" i="68"/>
  <c r="DJ4" i="67"/>
  <c r="DI4" i="67"/>
  <c r="DH4" i="67"/>
  <c r="DG4" i="67"/>
  <c r="DF4" i="67"/>
  <c r="DE4" i="67"/>
  <c r="DD4" i="67"/>
  <c r="DC4" i="67"/>
  <c r="DB4" i="67"/>
  <c r="DA4" i="67"/>
  <c r="CZ4" i="67"/>
  <c r="CY4" i="67"/>
  <c r="CX4" i="67"/>
  <c r="CW4" i="67"/>
  <c r="CV4" i="67"/>
  <c r="CU4" i="67"/>
  <c r="CT4" i="67"/>
  <c r="CS4" i="67"/>
  <c r="CR4" i="67"/>
  <c r="CQ4" i="67"/>
  <c r="CP4" i="67"/>
  <c r="CO4" i="67"/>
  <c r="CN4" i="67"/>
  <c r="CM4" i="67"/>
  <c r="CL4" i="67"/>
  <c r="CK4" i="67"/>
  <c r="CJ4" i="67"/>
  <c r="CH4" i="67"/>
  <c r="CG4" i="67"/>
  <c r="CF4" i="67"/>
  <c r="CE4" i="67"/>
  <c r="CD4" i="67"/>
  <c r="CC4" i="67"/>
  <c r="CB4" i="67"/>
  <c r="CA4" i="67"/>
  <c r="BZ4" i="67"/>
  <c r="BY4" i="67"/>
  <c r="BX4" i="67"/>
  <c r="BW4" i="67"/>
  <c r="BV4" i="67"/>
  <c r="BU4" i="67"/>
  <c r="BT4" i="67"/>
  <c r="BS4" i="67"/>
  <c r="BR4" i="67"/>
  <c r="BQ4" i="67"/>
  <c r="BP4" i="67"/>
  <c r="BO4" i="67"/>
  <c r="BN4" i="67"/>
  <c r="BM4" i="67"/>
  <c r="BL4" i="67"/>
  <c r="BK4" i="67"/>
  <c r="BJ4" i="67"/>
  <c r="BI4" i="67"/>
  <c r="BH4" i="67"/>
  <c r="BF4" i="67"/>
  <c r="BE4" i="67"/>
  <c r="BD4" i="67"/>
  <c r="BC4" i="67"/>
  <c r="BB4" i="67"/>
  <c r="BA4" i="67"/>
  <c r="AZ4" i="67"/>
  <c r="AY4" i="67"/>
  <c r="AX4" i="67"/>
  <c r="AW4" i="67"/>
  <c r="AV4" i="67"/>
  <c r="AU4" i="67"/>
  <c r="AT4" i="67"/>
  <c r="AS4" i="67"/>
  <c r="AR4" i="67"/>
  <c r="AQ4" i="67"/>
  <c r="AP4" i="67"/>
  <c r="AO4" i="67"/>
  <c r="AN4" i="67"/>
  <c r="AM4" i="67"/>
  <c r="AL4" i="67"/>
  <c r="AK4" i="67"/>
  <c r="AJ4" i="67"/>
  <c r="AI4" i="67"/>
  <c r="AH4" i="67"/>
  <c r="AG4" i="67"/>
  <c r="AF4" i="67"/>
  <c r="AD4" i="67"/>
  <c r="AC4" i="67"/>
  <c r="AB4" i="67"/>
  <c r="AA4" i="67"/>
  <c r="Z4" i="67"/>
  <c r="Y4" i="67"/>
  <c r="X4" i="67"/>
  <c r="W4" i="67"/>
  <c r="V4" i="67"/>
  <c r="U4" i="67"/>
  <c r="T4" i="67"/>
  <c r="S4" i="67"/>
  <c r="R4" i="67"/>
  <c r="Q4" i="67"/>
  <c r="P4" i="67"/>
  <c r="O4" i="67"/>
  <c r="N4" i="67"/>
  <c r="M4" i="67"/>
  <c r="L4" i="67"/>
  <c r="K4" i="67"/>
  <c r="J4" i="67"/>
  <c r="I4" i="67"/>
  <c r="H4" i="67"/>
  <c r="G4" i="67"/>
  <c r="F4" i="67"/>
  <c r="E4" i="67"/>
  <c r="D4" i="67"/>
  <c r="C4" i="67"/>
  <c r="DK3" i="67"/>
  <c r="DJ3" i="67"/>
  <c r="DI3" i="67"/>
  <c r="DH3" i="67"/>
  <c r="DG3" i="67"/>
  <c r="DF3" i="67"/>
  <c r="DE3" i="67"/>
  <c r="DD3" i="67"/>
  <c r="DC3" i="67"/>
  <c r="DB3" i="67"/>
  <c r="DA3" i="67"/>
  <c r="CZ3" i="67"/>
  <c r="CY3" i="67"/>
  <c r="CX3" i="67"/>
  <c r="CW3" i="67"/>
  <c r="CV3" i="67"/>
  <c r="CU3" i="67"/>
  <c r="CT3" i="67"/>
  <c r="CS3" i="67"/>
  <c r="CR3" i="67"/>
  <c r="CQ3" i="67"/>
  <c r="CP3" i="67"/>
  <c r="CO3" i="67"/>
  <c r="CN3" i="67"/>
  <c r="CM3" i="67"/>
  <c r="CL3" i="67"/>
  <c r="CK3" i="67"/>
  <c r="CJ3" i="67"/>
  <c r="CI3" i="67"/>
  <c r="CH3" i="67"/>
  <c r="CG3" i="67"/>
  <c r="CF3" i="67"/>
  <c r="CE3" i="67"/>
  <c r="CD3" i="67"/>
  <c r="CC3" i="67"/>
  <c r="CB3" i="67"/>
  <c r="CA3" i="67"/>
  <c r="BZ3" i="67"/>
  <c r="BY3" i="67"/>
  <c r="BX3" i="67"/>
  <c r="BW3" i="67"/>
  <c r="BV3" i="67"/>
  <c r="BU3" i="67"/>
  <c r="BT3" i="67"/>
  <c r="BS3" i="67"/>
  <c r="BR3" i="67"/>
  <c r="BQ3" i="67"/>
  <c r="BP3" i="67"/>
  <c r="BO3" i="67"/>
  <c r="BN3" i="67"/>
  <c r="BM3" i="67"/>
  <c r="BL3" i="67"/>
  <c r="BK3" i="67"/>
  <c r="BJ3" i="67"/>
  <c r="BI3" i="67"/>
  <c r="BH3" i="67"/>
  <c r="BG3" i="67"/>
  <c r="BF3" i="67"/>
  <c r="BE3" i="67"/>
  <c r="BD3" i="67"/>
  <c r="BC3" i="67"/>
  <c r="BB3" i="67"/>
  <c r="BA3" i="67"/>
  <c r="AZ3" i="67"/>
  <c r="AY3" i="67"/>
  <c r="AX3" i="67"/>
  <c r="AW3" i="67"/>
  <c r="AV3" i="67"/>
  <c r="AU3" i="67"/>
  <c r="AT3" i="67"/>
  <c r="AS3" i="67"/>
  <c r="AR3" i="67"/>
  <c r="AQ3" i="67"/>
  <c r="AP3" i="67"/>
  <c r="AO3" i="67"/>
  <c r="AN3" i="67"/>
  <c r="AM3" i="67"/>
  <c r="AL3" i="67"/>
  <c r="AK3" i="67"/>
  <c r="AJ3" i="67"/>
  <c r="AI3" i="67"/>
  <c r="AH3" i="67"/>
  <c r="AG3" i="67"/>
  <c r="AF3" i="67"/>
  <c r="AE3" i="67"/>
  <c r="AD3" i="67"/>
  <c r="AC3" i="67"/>
  <c r="AB3" i="67"/>
  <c r="AA3" i="67"/>
  <c r="Z3" i="67"/>
  <c r="Y3" i="67"/>
  <c r="X3" i="67"/>
  <c r="W3" i="67"/>
  <c r="V3" i="67"/>
  <c r="U3" i="67"/>
  <c r="T3" i="67"/>
  <c r="S3" i="67"/>
  <c r="R3" i="67"/>
  <c r="Q3" i="67"/>
  <c r="P3" i="67"/>
  <c r="O3" i="67"/>
  <c r="N3" i="67"/>
  <c r="M3" i="67"/>
  <c r="L3" i="67"/>
  <c r="K3" i="67"/>
  <c r="J3" i="67"/>
  <c r="I3" i="67"/>
  <c r="H3" i="67"/>
  <c r="G3" i="67"/>
  <c r="F3" i="67"/>
  <c r="E3" i="67"/>
  <c r="D3" i="67"/>
  <c r="B3" i="67"/>
  <c r="C35" i="67" s="1"/>
  <c r="A35" i="67" s="1"/>
  <c r="DJ2" i="67"/>
  <c r="DI2" i="67"/>
  <c r="DH2" i="67"/>
  <c r="DG2" i="67"/>
  <c r="DF2" i="67"/>
  <c r="DE2" i="67"/>
  <c r="DD2" i="67"/>
  <c r="DC2" i="67"/>
  <c r="DB2" i="67"/>
  <c r="DA2" i="67"/>
  <c r="CZ2" i="67"/>
  <c r="CY2" i="67"/>
  <c r="CX2" i="67"/>
  <c r="CW2" i="67"/>
  <c r="CV2" i="67"/>
  <c r="CU2" i="67"/>
  <c r="CT2" i="67"/>
  <c r="CS2" i="67"/>
  <c r="CR2" i="67"/>
  <c r="CQ2" i="67"/>
  <c r="CP2" i="67"/>
  <c r="CO2" i="67"/>
  <c r="CN2" i="67"/>
  <c r="CM2" i="67"/>
  <c r="CL2" i="67"/>
  <c r="CK2" i="67"/>
  <c r="CJ2" i="67"/>
  <c r="CH2" i="67"/>
  <c r="CG2" i="67"/>
  <c r="CF2" i="67"/>
  <c r="CE2" i="67"/>
  <c r="CD2" i="67"/>
  <c r="CC2" i="67"/>
  <c r="CB2" i="67"/>
  <c r="CA2" i="67"/>
  <c r="BZ2" i="67"/>
  <c r="BY2" i="67"/>
  <c r="BX2" i="67"/>
  <c r="BW2" i="67"/>
  <c r="BV2" i="67"/>
  <c r="BU2" i="67"/>
  <c r="BT2" i="67"/>
  <c r="BS2" i="67"/>
  <c r="BR2" i="67"/>
  <c r="BQ2" i="67"/>
  <c r="BP2" i="67"/>
  <c r="BO2" i="67"/>
  <c r="BN2" i="67"/>
  <c r="BM2" i="67"/>
  <c r="BL2" i="67"/>
  <c r="BK2" i="67"/>
  <c r="BJ2" i="67"/>
  <c r="BI2" i="67"/>
  <c r="BH2" i="67"/>
  <c r="BF2" i="67"/>
  <c r="BE2" i="67"/>
  <c r="BD2" i="67"/>
  <c r="BC2" i="67"/>
  <c r="BB2" i="67"/>
  <c r="BA2" i="67"/>
  <c r="AZ2" i="67"/>
  <c r="AY2" i="67"/>
  <c r="AX2" i="67"/>
  <c r="AW2" i="67"/>
  <c r="AV2" i="67"/>
  <c r="AU2" i="67"/>
  <c r="AT2" i="67"/>
  <c r="AS2" i="67"/>
  <c r="AR2" i="67"/>
  <c r="AQ2" i="67"/>
  <c r="AP2" i="67"/>
  <c r="AO2" i="67"/>
  <c r="AN2" i="67"/>
  <c r="AM2" i="67"/>
  <c r="AL2" i="67"/>
  <c r="AK2" i="67"/>
  <c r="AJ2" i="67"/>
  <c r="AI2" i="67"/>
  <c r="AH2" i="67"/>
  <c r="AG2" i="67"/>
  <c r="AF2" i="67"/>
  <c r="AD2" i="67"/>
  <c r="AC2" i="67"/>
  <c r="AB2" i="67"/>
  <c r="AA2" i="67"/>
  <c r="Z2" i="67"/>
  <c r="Y2" i="67"/>
  <c r="X2" i="67"/>
  <c r="W2" i="67"/>
  <c r="V2" i="67"/>
  <c r="U2" i="67"/>
  <c r="T2" i="67"/>
  <c r="S2" i="67"/>
  <c r="R2" i="67"/>
  <c r="Q2" i="67"/>
  <c r="P2" i="67"/>
  <c r="O2" i="67"/>
  <c r="N2" i="67"/>
  <c r="M2" i="67"/>
  <c r="L2" i="67"/>
  <c r="K2" i="67"/>
  <c r="J2" i="67"/>
  <c r="I2" i="67"/>
  <c r="H2" i="67"/>
  <c r="G2" i="67"/>
  <c r="F2" i="67"/>
  <c r="E2" i="67"/>
  <c r="D2" i="67"/>
  <c r="DJ4" i="66"/>
  <c r="DI4" i="66"/>
  <c r="DH4" i="66"/>
  <c r="DG4" i="66"/>
  <c r="DF4" i="66"/>
  <c r="DE4" i="66"/>
  <c r="DD4" i="66"/>
  <c r="DC4" i="66"/>
  <c r="DB4" i="66"/>
  <c r="DA4" i="66"/>
  <c r="CZ4" i="66"/>
  <c r="CY4" i="66"/>
  <c r="CX4" i="66"/>
  <c r="CW4" i="66"/>
  <c r="CV4" i="66"/>
  <c r="CU4" i="66"/>
  <c r="CT4" i="66"/>
  <c r="CS4" i="66"/>
  <c r="CR4" i="66"/>
  <c r="CQ4" i="66"/>
  <c r="CP4" i="66"/>
  <c r="CO4" i="66"/>
  <c r="CN4" i="66"/>
  <c r="CM4" i="66"/>
  <c r="CL4" i="66"/>
  <c r="CK4" i="66"/>
  <c r="CJ4" i="66"/>
  <c r="CH4" i="66"/>
  <c r="CG4" i="66"/>
  <c r="CF4" i="66"/>
  <c r="CE4" i="66"/>
  <c r="CD4" i="66"/>
  <c r="CC4" i="66"/>
  <c r="CB4" i="66"/>
  <c r="CA4" i="66"/>
  <c r="BZ4" i="66"/>
  <c r="BY4" i="66"/>
  <c r="BX4" i="66"/>
  <c r="BW4" i="66"/>
  <c r="BV4" i="66"/>
  <c r="BU4" i="66"/>
  <c r="BT4" i="66"/>
  <c r="BS4" i="66"/>
  <c r="BR4" i="66"/>
  <c r="BQ4" i="66"/>
  <c r="BP4" i="66"/>
  <c r="BO4" i="66"/>
  <c r="BN4" i="66"/>
  <c r="BM4" i="66"/>
  <c r="BL4" i="66"/>
  <c r="BK4" i="66"/>
  <c r="BJ4" i="66"/>
  <c r="BI4" i="66"/>
  <c r="BH4" i="66"/>
  <c r="BF4" i="66"/>
  <c r="BE4" i="66"/>
  <c r="BD4" i="66"/>
  <c r="BC4" i="66"/>
  <c r="BB4" i="66"/>
  <c r="BA4" i="66"/>
  <c r="AZ4" i="66"/>
  <c r="AY4" i="66"/>
  <c r="AX4" i="66"/>
  <c r="AW4" i="66"/>
  <c r="AV4" i="66"/>
  <c r="AU4" i="66"/>
  <c r="AT4" i="66"/>
  <c r="AS4" i="66"/>
  <c r="AR4" i="66"/>
  <c r="AQ4" i="66"/>
  <c r="AP4" i="66"/>
  <c r="AO4" i="66"/>
  <c r="AN4" i="66"/>
  <c r="AM4" i="66"/>
  <c r="AL4" i="66"/>
  <c r="AK4" i="66"/>
  <c r="AJ4" i="66"/>
  <c r="AI4" i="66"/>
  <c r="AH4" i="66"/>
  <c r="AG4" i="66"/>
  <c r="AF4" i="66"/>
  <c r="AD4" i="66"/>
  <c r="AC4" i="66"/>
  <c r="AB4" i="66"/>
  <c r="AA4" i="66"/>
  <c r="Z4" i="66"/>
  <c r="Y4" i="66"/>
  <c r="X4" i="66"/>
  <c r="W4" i="66"/>
  <c r="V4" i="66"/>
  <c r="U4" i="66"/>
  <c r="T4" i="66"/>
  <c r="S4" i="66"/>
  <c r="R4" i="66"/>
  <c r="Q4" i="66"/>
  <c r="P4" i="66"/>
  <c r="O4" i="66"/>
  <c r="N4" i="66"/>
  <c r="M4" i="66"/>
  <c r="L4" i="66"/>
  <c r="K4" i="66"/>
  <c r="J4" i="66"/>
  <c r="I4" i="66"/>
  <c r="H4" i="66"/>
  <c r="G4" i="66"/>
  <c r="F4" i="66"/>
  <c r="E4" i="66"/>
  <c r="D4" i="66"/>
  <c r="C4" i="66"/>
  <c r="DK3" i="66"/>
  <c r="DJ3" i="66"/>
  <c r="DI3" i="66"/>
  <c r="DH3" i="66"/>
  <c r="DG3" i="66"/>
  <c r="DF3" i="66"/>
  <c r="DE3" i="66"/>
  <c r="DD3" i="66"/>
  <c r="DC3" i="66"/>
  <c r="DB3" i="66"/>
  <c r="DA3" i="66"/>
  <c r="CZ3" i="66"/>
  <c r="CY3" i="66"/>
  <c r="CX3" i="66"/>
  <c r="CW3" i="66"/>
  <c r="CV3" i="66"/>
  <c r="CU3" i="66"/>
  <c r="CT3" i="66"/>
  <c r="CS3" i="66"/>
  <c r="CR3" i="66"/>
  <c r="CQ3" i="66"/>
  <c r="CP3" i="66"/>
  <c r="CO3" i="66"/>
  <c r="CN3" i="66"/>
  <c r="CM3" i="66"/>
  <c r="CL3" i="66"/>
  <c r="CK3" i="66"/>
  <c r="CJ3" i="66"/>
  <c r="CI3" i="66"/>
  <c r="CH3" i="66"/>
  <c r="CG3" i="66"/>
  <c r="CF3" i="66"/>
  <c r="CE3" i="66"/>
  <c r="CD3" i="66"/>
  <c r="CC3" i="66"/>
  <c r="CB3" i="66"/>
  <c r="CA3" i="66"/>
  <c r="BZ3" i="66"/>
  <c r="BY3" i="66"/>
  <c r="BX3" i="66"/>
  <c r="BW3" i="66"/>
  <c r="BV3" i="66"/>
  <c r="BU3" i="66"/>
  <c r="BT3" i="66"/>
  <c r="BS3" i="66"/>
  <c r="BR3" i="66"/>
  <c r="BQ3" i="66"/>
  <c r="BP3" i="66"/>
  <c r="BO3" i="66"/>
  <c r="BN3" i="66"/>
  <c r="BM3" i="66"/>
  <c r="BL3" i="66"/>
  <c r="BK3" i="66"/>
  <c r="BJ3" i="66"/>
  <c r="BI3" i="66"/>
  <c r="BH3" i="66"/>
  <c r="BG3" i="66"/>
  <c r="BF3" i="66"/>
  <c r="BE3" i="66"/>
  <c r="BD3" i="66"/>
  <c r="BC3" i="66"/>
  <c r="BB3" i="66"/>
  <c r="BA3" i="66"/>
  <c r="AZ3" i="66"/>
  <c r="AY3" i="66"/>
  <c r="AX3" i="66"/>
  <c r="AW3" i="66"/>
  <c r="AV3" i="66"/>
  <c r="AU3" i="66"/>
  <c r="AT3" i="66"/>
  <c r="AS3" i="66"/>
  <c r="AR3" i="66"/>
  <c r="AQ3" i="66"/>
  <c r="AP3" i="66"/>
  <c r="AO3" i="66"/>
  <c r="AN3" i="66"/>
  <c r="AM3" i="66"/>
  <c r="AL3" i="66"/>
  <c r="AK3" i="66"/>
  <c r="AJ3" i="66"/>
  <c r="AI3" i="66"/>
  <c r="AH3" i="66"/>
  <c r="AG3" i="66"/>
  <c r="AF3" i="66"/>
  <c r="AE3" i="66"/>
  <c r="AD3" i="66"/>
  <c r="AC3" i="66"/>
  <c r="AB3" i="66"/>
  <c r="AA3" i="66"/>
  <c r="Z3" i="66"/>
  <c r="Y3" i="66"/>
  <c r="X3" i="66"/>
  <c r="W3" i="66"/>
  <c r="V3" i="66"/>
  <c r="U3" i="66"/>
  <c r="T3" i="66"/>
  <c r="S3" i="66"/>
  <c r="R3" i="66"/>
  <c r="Q3" i="66"/>
  <c r="P3" i="66"/>
  <c r="O3" i="66"/>
  <c r="N3" i="66"/>
  <c r="M3" i="66"/>
  <c r="L3" i="66"/>
  <c r="K3" i="66"/>
  <c r="J3" i="66"/>
  <c r="I3" i="66"/>
  <c r="H3" i="66"/>
  <c r="G3" i="66"/>
  <c r="F3" i="66"/>
  <c r="E3" i="66"/>
  <c r="D3" i="66"/>
  <c r="B3" i="66"/>
  <c r="C35" i="66" s="1"/>
  <c r="A35" i="66" s="1"/>
  <c r="DJ2" i="66"/>
  <c r="DI2" i="66"/>
  <c r="DH2" i="66"/>
  <c r="DG2" i="66"/>
  <c r="DF2" i="66"/>
  <c r="DE2" i="66"/>
  <c r="DD2" i="66"/>
  <c r="DC2" i="66"/>
  <c r="DB2" i="66"/>
  <c r="DA2" i="66"/>
  <c r="CZ2" i="66"/>
  <c r="CY2" i="66"/>
  <c r="CX2" i="66"/>
  <c r="CW2" i="66"/>
  <c r="CV2" i="66"/>
  <c r="CU2" i="66"/>
  <c r="CT2" i="66"/>
  <c r="CS2" i="66"/>
  <c r="CR2" i="66"/>
  <c r="CQ2" i="66"/>
  <c r="CP2" i="66"/>
  <c r="CO2" i="66"/>
  <c r="CN2" i="66"/>
  <c r="CM2" i="66"/>
  <c r="CL2" i="66"/>
  <c r="CK2" i="66"/>
  <c r="CJ2" i="66"/>
  <c r="CH2" i="66"/>
  <c r="CG2" i="66"/>
  <c r="CF2" i="66"/>
  <c r="CE2" i="66"/>
  <c r="CD2" i="66"/>
  <c r="CC2" i="66"/>
  <c r="CB2" i="66"/>
  <c r="CA2" i="66"/>
  <c r="BZ2" i="66"/>
  <c r="BY2" i="66"/>
  <c r="BX2" i="66"/>
  <c r="BW2" i="66"/>
  <c r="BV2" i="66"/>
  <c r="BU2" i="66"/>
  <c r="BT2" i="66"/>
  <c r="BS2" i="66"/>
  <c r="BR2" i="66"/>
  <c r="BQ2" i="66"/>
  <c r="BP2" i="66"/>
  <c r="BO2" i="66"/>
  <c r="BN2" i="66"/>
  <c r="BM2" i="66"/>
  <c r="BL2" i="66"/>
  <c r="BK2" i="66"/>
  <c r="BJ2" i="66"/>
  <c r="BI2" i="66"/>
  <c r="BH2" i="66"/>
  <c r="BF2" i="66"/>
  <c r="BE2" i="66"/>
  <c r="BD2" i="66"/>
  <c r="BC2" i="66"/>
  <c r="BB2" i="66"/>
  <c r="BA2" i="66"/>
  <c r="AZ2" i="66"/>
  <c r="AY2" i="66"/>
  <c r="AX2" i="66"/>
  <c r="AW2" i="66"/>
  <c r="AV2" i="66"/>
  <c r="AU2" i="66"/>
  <c r="AT2" i="66"/>
  <c r="AS2" i="66"/>
  <c r="AR2" i="66"/>
  <c r="AQ2" i="66"/>
  <c r="AP2" i="66"/>
  <c r="AO2" i="66"/>
  <c r="AN2" i="66"/>
  <c r="AM2" i="66"/>
  <c r="AL2" i="66"/>
  <c r="AK2" i="66"/>
  <c r="AJ2" i="66"/>
  <c r="AI2" i="66"/>
  <c r="AH2" i="66"/>
  <c r="AG2" i="66"/>
  <c r="AF2" i="66"/>
  <c r="AD2" i="66"/>
  <c r="AC2" i="66"/>
  <c r="AB2" i="66"/>
  <c r="AA2" i="66"/>
  <c r="Z2" i="66"/>
  <c r="Y2" i="66"/>
  <c r="X2" i="66"/>
  <c r="W2" i="66"/>
  <c r="V2" i="66"/>
  <c r="U2" i="66"/>
  <c r="T2" i="66"/>
  <c r="S2" i="66"/>
  <c r="R2" i="66"/>
  <c r="Q2" i="66"/>
  <c r="P2" i="66"/>
  <c r="O2" i="66"/>
  <c r="N2" i="66"/>
  <c r="M2" i="66"/>
  <c r="L2" i="66"/>
  <c r="K2" i="66"/>
  <c r="J2" i="66"/>
  <c r="I2" i="66"/>
  <c r="H2" i="66"/>
  <c r="G2" i="66"/>
  <c r="F2" i="66"/>
  <c r="E2" i="66"/>
  <c r="D2" i="66"/>
  <c r="DJ4" i="65"/>
  <c r="DI4" i="65"/>
  <c r="DH4" i="65"/>
  <c r="DG4" i="65"/>
  <c r="DF4" i="65"/>
  <c r="DE4" i="65"/>
  <c r="DD4" i="65"/>
  <c r="DC4" i="65"/>
  <c r="DB4" i="65"/>
  <c r="DA4" i="65"/>
  <c r="CZ4" i="65"/>
  <c r="CY4" i="65"/>
  <c r="CX4" i="65"/>
  <c r="CW4" i="65"/>
  <c r="CV4" i="65"/>
  <c r="CU4" i="65"/>
  <c r="CT4" i="65"/>
  <c r="CS4" i="65"/>
  <c r="CR4" i="65"/>
  <c r="CQ4" i="65"/>
  <c r="CP4" i="65"/>
  <c r="CO4" i="65"/>
  <c r="CN4" i="65"/>
  <c r="CM4" i="65"/>
  <c r="CL4" i="65"/>
  <c r="CK4" i="65"/>
  <c r="CJ4" i="65"/>
  <c r="CH4" i="65"/>
  <c r="CG4" i="65"/>
  <c r="CF4" i="65"/>
  <c r="CE4" i="65"/>
  <c r="CD4" i="65"/>
  <c r="CC4" i="65"/>
  <c r="CB4" i="65"/>
  <c r="CA4" i="65"/>
  <c r="BZ4" i="65"/>
  <c r="BY4" i="65"/>
  <c r="BX4" i="65"/>
  <c r="BW4" i="65"/>
  <c r="BV4" i="65"/>
  <c r="BU4" i="65"/>
  <c r="BT4" i="65"/>
  <c r="BS4" i="65"/>
  <c r="BR4" i="65"/>
  <c r="BQ4" i="65"/>
  <c r="BP4" i="65"/>
  <c r="BO4" i="65"/>
  <c r="BN4" i="65"/>
  <c r="BM4" i="65"/>
  <c r="BL4" i="65"/>
  <c r="BK4" i="65"/>
  <c r="BJ4" i="65"/>
  <c r="BI4" i="65"/>
  <c r="BH4" i="65"/>
  <c r="BF4" i="65"/>
  <c r="BE4" i="65"/>
  <c r="BD4" i="65"/>
  <c r="BC4" i="65"/>
  <c r="BB4" i="65"/>
  <c r="BA4" i="65"/>
  <c r="AZ4" i="65"/>
  <c r="AY4" i="65"/>
  <c r="AX4" i="65"/>
  <c r="AW4" i="65"/>
  <c r="AV4" i="65"/>
  <c r="AU4" i="65"/>
  <c r="AT4" i="65"/>
  <c r="AS4" i="65"/>
  <c r="AR4" i="65"/>
  <c r="AQ4" i="65"/>
  <c r="AP4" i="65"/>
  <c r="AO4" i="65"/>
  <c r="AN4" i="65"/>
  <c r="AM4" i="65"/>
  <c r="AL4" i="65"/>
  <c r="AK4" i="65"/>
  <c r="AJ4" i="65"/>
  <c r="AI4" i="65"/>
  <c r="AH4" i="65"/>
  <c r="AG4" i="65"/>
  <c r="AF4" i="65"/>
  <c r="AD4" i="65"/>
  <c r="AC4" i="65"/>
  <c r="AB4" i="65"/>
  <c r="AA4" i="65"/>
  <c r="Z4" i="65"/>
  <c r="Y4" i="65"/>
  <c r="X4" i="65"/>
  <c r="W4" i="65"/>
  <c r="V4" i="65"/>
  <c r="U4" i="65"/>
  <c r="T4" i="65"/>
  <c r="S4" i="65"/>
  <c r="R4" i="65"/>
  <c r="Q4" i="65"/>
  <c r="P4" i="65"/>
  <c r="O4" i="65"/>
  <c r="N4" i="65"/>
  <c r="M4" i="65"/>
  <c r="L4" i="65"/>
  <c r="K4" i="65"/>
  <c r="J4" i="65"/>
  <c r="I4" i="65"/>
  <c r="H4" i="65"/>
  <c r="G4" i="65"/>
  <c r="F4" i="65"/>
  <c r="E4" i="65"/>
  <c r="D4" i="65"/>
  <c r="C4" i="65"/>
  <c r="DK3" i="65"/>
  <c r="DJ3" i="65"/>
  <c r="DI3" i="65"/>
  <c r="DH3" i="65"/>
  <c r="DG3" i="65"/>
  <c r="DF3" i="65"/>
  <c r="DE3" i="65"/>
  <c r="DD3" i="65"/>
  <c r="DC3" i="65"/>
  <c r="DB3" i="65"/>
  <c r="DA3" i="65"/>
  <c r="CZ3" i="65"/>
  <c r="CY3" i="65"/>
  <c r="CX3" i="65"/>
  <c r="CW3" i="65"/>
  <c r="CV3" i="65"/>
  <c r="CU3" i="65"/>
  <c r="CT3" i="65"/>
  <c r="CS3" i="65"/>
  <c r="CR3" i="65"/>
  <c r="CQ3" i="65"/>
  <c r="CP3" i="65"/>
  <c r="CO3" i="65"/>
  <c r="CN3" i="65"/>
  <c r="CM3" i="65"/>
  <c r="CL3" i="65"/>
  <c r="CK3" i="65"/>
  <c r="CJ3" i="65"/>
  <c r="CI3" i="65"/>
  <c r="CH3" i="65"/>
  <c r="CG3" i="65"/>
  <c r="CF3" i="65"/>
  <c r="CE3" i="65"/>
  <c r="CD3" i="65"/>
  <c r="CC3" i="65"/>
  <c r="CB3" i="65"/>
  <c r="CA3" i="65"/>
  <c r="BZ3" i="65"/>
  <c r="BY3" i="65"/>
  <c r="BX3" i="65"/>
  <c r="BW3" i="65"/>
  <c r="BV3" i="65"/>
  <c r="BU3" i="65"/>
  <c r="BT3" i="65"/>
  <c r="BS3" i="65"/>
  <c r="BR3" i="65"/>
  <c r="BQ3" i="65"/>
  <c r="BP3" i="65"/>
  <c r="BO3" i="65"/>
  <c r="BN3" i="65"/>
  <c r="BM3" i="65"/>
  <c r="BL3" i="65"/>
  <c r="BK3" i="65"/>
  <c r="BJ3" i="65"/>
  <c r="BI3" i="65"/>
  <c r="BH3" i="65"/>
  <c r="BG3" i="65"/>
  <c r="BF3" i="65"/>
  <c r="BE3" i="65"/>
  <c r="BD3" i="65"/>
  <c r="BC3" i="65"/>
  <c r="BB3" i="65"/>
  <c r="BA3" i="65"/>
  <c r="AZ3" i="65"/>
  <c r="AY3" i="65"/>
  <c r="AX3" i="65"/>
  <c r="AW3" i="65"/>
  <c r="AV3" i="65"/>
  <c r="AU3" i="65"/>
  <c r="AT3" i="65"/>
  <c r="AS3" i="65"/>
  <c r="AR3" i="65"/>
  <c r="AQ3" i="65"/>
  <c r="AP3" i="65"/>
  <c r="AO3" i="65"/>
  <c r="AN3" i="65"/>
  <c r="AM3" i="65"/>
  <c r="AL3" i="65"/>
  <c r="AK3" i="65"/>
  <c r="AJ3" i="65"/>
  <c r="AI3" i="65"/>
  <c r="AH3" i="65"/>
  <c r="AG3" i="65"/>
  <c r="AF3" i="65"/>
  <c r="AE3" i="65"/>
  <c r="AD3" i="65"/>
  <c r="AC3" i="65"/>
  <c r="AB3" i="65"/>
  <c r="AA3" i="65"/>
  <c r="Z3" i="65"/>
  <c r="Y3" i="65"/>
  <c r="X3" i="65"/>
  <c r="W3" i="65"/>
  <c r="V3" i="65"/>
  <c r="U3" i="65"/>
  <c r="T3" i="65"/>
  <c r="S3" i="65"/>
  <c r="R3" i="65"/>
  <c r="Q3" i="65"/>
  <c r="P3" i="65"/>
  <c r="O3" i="65"/>
  <c r="N3" i="65"/>
  <c r="M3" i="65"/>
  <c r="L3" i="65"/>
  <c r="K3" i="65"/>
  <c r="J3" i="65"/>
  <c r="I3" i="65"/>
  <c r="H3" i="65"/>
  <c r="G3" i="65"/>
  <c r="F3" i="65"/>
  <c r="E3" i="65"/>
  <c r="D3" i="65"/>
  <c r="B3" i="65"/>
  <c r="C35" i="65" s="1"/>
  <c r="A35" i="65" s="1"/>
  <c r="DJ2" i="65"/>
  <c r="DI2" i="65"/>
  <c r="DH2" i="65"/>
  <c r="DG2" i="65"/>
  <c r="DF2" i="65"/>
  <c r="DE2" i="65"/>
  <c r="DD2" i="65"/>
  <c r="DC2" i="65"/>
  <c r="DB2" i="65"/>
  <c r="DA2" i="65"/>
  <c r="CZ2" i="65"/>
  <c r="CY2" i="65"/>
  <c r="CX2" i="65"/>
  <c r="CW2" i="65"/>
  <c r="CV2" i="65"/>
  <c r="CU2" i="65"/>
  <c r="CT2" i="65"/>
  <c r="CS2" i="65"/>
  <c r="CR2" i="65"/>
  <c r="CQ2" i="65"/>
  <c r="CP2" i="65"/>
  <c r="CO2" i="65"/>
  <c r="CN2" i="65"/>
  <c r="CM2" i="65"/>
  <c r="CL2" i="65"/>
  <c r="CK2" i="65"/>
  <c r="CJ2" i="65"/>
  <c r="CH2" i="65"/>
  <c r="CG2" i="65"/>
  <c r="CF2" i="65"/>
  <c r="CE2" i="65"/>
  <c r="CD2" i="65"/>
  <c r="CC2" i="65"/>
  <c r="CB2" i="65"/>
  <c r="CA2" i="65"/>
  <c r="BZ2" i="65"/>
  <c r="BY2" i="65"/>
  <c r="BX2" i="65"/>
  <c r="BW2" i="65"/>
  <c r="BV2" i="65"/>
  <c r="BU2" i="65"/>
  <c r="BT2" i="65"/>
  <c r="BS2" i="65"/>
  <c r="BR2" i="65"/>
  <c r="BQ2" i="65"/>
  <c r="BP2" i="65"/>
  <c r="BO2" i="65"/>
  <c r="BN2" i="65"/>
  <c r="BM2" i="65"/>
  <c r="BL2" i="65"/>
  <c r="BK2" i="65"/>
  <c r="BJ2" i="65"/>
  <c r="BI2" i="65"/>
  <c r="BH2" i="65"/>
  <c r="BF2" i="65"/>
  <c r="BE2" i="65"/>
  <c r="BD2" i="65"/>
  <c r="BC2" i="65"/>
  <c r="BB2" i="65"/>
  <c r="BA2" i="65"/>
  <c r="AZ2" i="65"/>
  <c r="AY2" i="65"/>
  <c r="AX2" i="65"/>
  <c r="AW2" i="65"/>
  <c r="AV2" i="65"/>
  <c r="AU2" i="65"/>
  <c r="AT2" i="65"/>
  <c r="AS2" i="65"/>
  <c r="AR2" i="65"/>
  <c r="AQ2" i="65"/>
  <c r="AP2" i="65"/>
  <c r="AO2" i="65"/>
  <c r="AN2" i="65"/>
  <c r="AM2" i="65"/>
  <c r="AL2" i="65"/>
  <c r="AK2" i="65"/>
  <c r="AJ2" i="65"/>
  <c r="AI2" i="65"/>
  <c r="AH2" i="65"/>
  <c r="AG2" i="65"/>
  <c r="AF2" i="65"/>
  <c r="AD2" i="65"/>
  <c r="AC2" i="65"/>
  <c r="AB2" i="65"/>
  <c r="AA2" i="65"/>
  <c r="Z2" i="65"/>
  <c r="Y2" i="65"/>
  <c r="X2" i="65"/>
  <c r="W2" i="65"/>
  <c r="V2" i="65"/>
  <c r="U2" i="65"/>
  <c r="T2" i="65"/>
  <c r="S2" i="65"/>
  <c r="R2" i="65"/>
  <c r="Q2" i="65"/>
  <c r="P2" i="65"/>
  <c r="O2" i="65"/>
  <c r="N2" i="65"/>
  <c r="M2" i="65"/>
  <c r="L2" i="65"/>
  <c r="K2" i="65"/>
  <c r="J2" i="65"/>
  <c r="I2" i="65"/>
  <c r="H2" i="65"/>
  <c r="G2" i="65"/>
  <c r="F2" i="65"/>
  <c r="E2" i="65"/>
  <c r="D2" i="65"/>
  <c r="DJ4" i="64"/>
  <c r="DI4" i="64"/>
  <c r="DH4" i="64"/>
  <c r="DG4" i="64"/>
  <c r="DF4" i="64"/>
  <c r="DE4" i="64"/>
  <c r="DD4" i="64"/>
  <c r="DC4" i="64"/>
  <c r="DB4" i="64"/>
  <c r="DA4" i="64"/>
  <c r="CZ4" i="64"/>
  <c r="CY4" i="64"/>
  <c r="CX4" i="64"/>
  <c r="CW4" i="64"/>
  <c r="CV4" i="64"/>
  <c r="CU4" i="64"/>
  <c r="CT4" i="64"/>
  <c r="CS4" i="64"/>
  <c r="CR4" i="64"/>
  <c r="CQ4" i="64"/>
  <c r="CP4" i="64"/>
  <c r="CO4" i="64"/>
  <c r="CN4" i="64"/>
  <c r="CM4" i="64"/>
  <c r="CL4" i="64"/>
  <c r="CK4" i="64"/>
  <c r="CJ4" i="64"/>
  <c r="CH4" i="64"/>
  <c r="CG4" i="64"/>
  <c r="CF4" i="64"/>
  <c r="CE4" i="64"/>
  <c r="CD4" i="64"/>
  <c r="CC4" i="64"/>
  <c r="CB4" i="64"/>
  <c r="CA4" i="64"/>
  <c r="BZ4" i="64"/>
  <c r="BY4" i="64"/>
  <c r="BX4" i="64"/>
  <c r="BW4" i="64"/>
  <c r="BV4" i="64"/>
  <c r="BU4" i="64"/>
  <c r="BT4" i="64"/>
  <c r="BS4" i="64"/>
  <c r="BR4" i="64"/>
  <c r="BQ4" i="64"/>
  <c r="BP4" i="64"/>
  <c r="BO4" i="64"/>
  <c r="BN4" i="64"/>
  <c r="BM4" i="64"/>
  <c r="BL4" i="64"/>
  <c r="BK4" i="64"/>
  <c r="BJ4" i="64"/>
  <c r="BI4" i="64"/>
  <c r="BH4" i="64"/>
  <c r="BF4" i="64"/>
  <c r="BE4" i="64"/>
  <c r="BD4" i="64"/>
  <c r="BC4" i="64"/>
  <c r="BB4" i="64"/>
  <c r="BA4" i="64"/>
  <c r="AZ4" i="64"/>
  <c r="AY4" i="64"/>
  <c r="AX4" i="64"/>
  <c r="AW4" i="64"/>
  <c r="AV4" i="64"/>
  <c r="AU4" i="64"/>
  <c r="AT4" i="64"/>
  <c r="AS4" i="64"/>
  <c r="AR4" i="64"/>
  <c r="AQ4" i="64"/>
  <c r="AP4" i="64"/>
  <c r="AO4" i="64"/>
  <c r="AN4" i="64"/>
  <c r="AM4" i="64"/>
  <c r="AL4" i="64"/>
  <c r="AK4" i="64"/>
  <c r="AJ4" i="64"/>
  <c r="AI4" i="64"/>
  <c r="AH4" i="64"/>
  <c r="AG4" i="64"/>
  <c r="AF4" i="64"/>
  <c r="AD4" i="64"/>
  <c r="AC4" i="64"/>
  <c r="AB4" i="64"/>
  <c r="AA4" i="64"/>
  <c r="Z4" i="64"/>
  <c r="Y4" i="64"/>
  <c r="X4" i="64"/>
  <c r="W4" i="64"/>
  <c r="V4" i="64"/>
  <c r="U4" i="64"/>
  <c r="T4" i="64"/>
  <c r="S4" i="64"/>
  <c r="R4" i="64"/>
  <c r="Q4" i="64"/>
  <c r="P4" i="64"/>
  <c r="O4" i="64"/>
  <c r="N4" i="64"/>
  <c r="M4" i="64"/>
  <c r="L4" i="64"/>
  <c r="K4" i="64"/>
  <c r="J4" i="64"/>
  <c r="I4" i="64"/>
  <c r="H4" i="64"/>
  <c r="G4" i="64"/>
  <c r="F4" i="64"/>
  <c r="E4" i="64"/>
  <c r="D4" i="64"/>
  <c r="C4" i="64"/>
  <c r="DK3" i="64"/>
  <c r="DJ3" i="64"/>
  <c r="DI3" i="64"/>
  <c r="DH3" i="64"/>
  <c r="DG3" i="64"/>
  <c r="DF3" i="64"/>
  <c r="DE3" i="64"/>
  <c r="DD3" i="64"/>
  <c r="DC3" i="64"/>
  <c r="DB3" i="64"/>
  <c r="DA3" i="64"/>
  <c r="CZ3" i="64"/>
  <c r="CY3" i="64"/>
  <c r="CX3" i="64"/>
  <c r="CW3" i="64"/>
  <c r="CV3" i="64"/>
  <c r="CU3" i="64"/>
  <c r="CT3" i="64"/>
  <c r="CS3" i="64"/>
  <c r="CR3" i="64"/>
  <c r="CQ3" i="64"/>
  <c r="CP3" i="64"/>
  <c r="CO3" i="64"/>
  <c r="CN3" i="64"/>
  <c r="CM3" i="64"/>
  <c r="CL3" i="64"/>
  <c r="CK3" i="64"/>
  <c r="CJ3" i="64"/>
  <c r="CI3" i="64"/>
  <c r="CH3" i="64"/>
  <c r="CG3" i="64"/>
  <c r="CF3" i="64"/>
  <c r="CE3" i="64"/>
  <c r="CD3" i="64"/>
  <c r="CC3" i="64"/>
  <c r="CB3" i="64"/>
  <c r="CA3" i="64"/>
  <c r="BZ3" i="64"/>
  <c r="BY3" i="64"/>
  <c r="BX3" i="64"/>
  <c r="BW3" i="64"/>
  <c r="BV3" i="64"/>
  <c r="BU3" i="64"/>
  <c r="BT3" i="64"/>
  <c r="BS3" i="64"/>
  <c r="BR3" i="64"/>
  <c r="BQ3" i="64"/>
  <c r="BP3" i="64"/>
  <c r="BO3" i="64"/>
  <c r="BN3" i="64"/>
  <c r="BM3" i="64"/>
  <c r="BL3" i="64"/>
  <c r="BK3" i="64"/>
  <c r="BJ3" i="64"/>
  <c r="BI3" i="64"/>
  <c r="BH3" i="64"/>
  <c r="BG3" i="64"/>
  <c r="BF3" i="64"/>
  <c r="BE3" i="64"/>
  <c r="BD3" i="64"/>
  <c r="BC3" i="64"/>
  <c r="BB3" i="64"/>
  <c r="BA3" i="64"/>
  <c r="AZ3" i="64"/>
  <c r="AY3" i="64"/>
  <c r="AX3" i="64"/>
  <c r="AW3" i="64"/>
  <c r="AV3" i="64"/>
  <c r="AU3" i="64"/>
  <c r="AT3" i="64"/>
  <c r="AS3" i="64"/>
  <c r="AR3" i="64"/>
  <c r="AQ3" i="64"/>
  <c r="AP3" i="64"/>
  <c r="AO3" i="64"/>
  <c r="AN3" i="64"/>
  <c r="AM3" i="64"/>
  <c r="AL3" i="64"/>
  <c r="AK3" i="64"/>
  <c r="AJ3" i="64"/>
  <c r="AI3" i="64"/>
  <c r="AH3" i="64"/>
  <c r="AG3" i="64"/>
  <c r="AF3" i="64"/>
  <c r="AE3" i="64"/>
  <c r="AD3" i="64"/>
  <c r="AC3" i="64"/>
  <c r="AB3" i="64"/>
  <c r="AA3" i="64"/>
  <c r="Z3" i="64"/>
  <c r="Y3" i="64"/>
  <c r="X3" i="64"/>
  <c r="W3" i="64"/>
  <c r="V3" i="64"/>
  <c r="U3" i="64"/>
  <c r="T3" i="64"/>
  <c r="S3" i="64"/>
  <c r="R3" i="64"/>
  <c r="Q3" i="64"/>
  <c r="P3" i="64"/>
  <c r="O3" i="64"/>
  <c r="N3" i="64"/>
  <c r="M3" i="64"/>
  <c r="L3" i="64"/>
  <c r="K3" i="64"/>
  <c r="J3" i="64"/>
  <c r="I3" i="64"/>
  <c r="H3" i="64"/>
  <c r="G3" i="64"/>
  <c r="F3" i="64"/>
  <c r="E3" i="64"/>
  <c r="D3" i="64"/>
  <c r="B3" i="64"/>
  <c r="C35" i="64" s="1"/>
  <c r="A35" i="64" s="1"/>
  <c r="DJ2" i="64"/>
  <c r="DI2" i="64"/>
  <c r="DH2" i="64"/>
  <c r="DG2" i="64"/>
  <c r="DF2" i="64"/>
  <c r="DE2" i="64"/>
  <c r="DD2" i="64"/>
  <c r="DC2" i="64"/>
  <c r="DB2" i="64"/>
  <c r="DA2" i="64"/>
  <c r="CZ2" i="64"/>
  <c r="CY2" i="64"/>
  <c r="CX2" i="64"/>
  <c r="CW2" i="64"/>
  <c r="CV2" i="64"/>
  <c r="CU2" i="64"/>
  <c r="CT2" i="64"/>
  <c r="CS2" i="64"/>
  <c r="CR2" i="64"/>
  <c r="CQ2" i="64"/>
  <c r="CP2" i="64"/>
  <c r="CO2" i="64"/>
  <c r="CN2" i="64"/>
  <c r="CM2" i="64"/>
  <c r="CL2" i="64"/>
  <c r="CK2" i="64"/>
  <c r="CJ2" i="64"/>
  <c r="CH2" i="64"/>
  <c r="CG2" i="64"/>
  <c r="CF2" i="64"/>
  <c r="CE2" i="64"/>
  <c r="CD2" i="64"/>
  <c r="CC2" i="64"/>
  <c r="CB2" i="64"/>
  <c r="CA2" i="64"/>
  <c r="BZ2" i="64"/>
  <c r="BY2" i="64"/>
  <c r="BX2" i="64"/>
  <c r="BW2" i="64"/>
  <c r="BV2" i="64"/>
  <c r="BU2" i="64"/>
  <c r="BT2" i="64"/>
  <c r="BS2" i="64"/>
  <c r="BR2" i="64"/>
  <c r="BQ2" i="64"/>
  <c r="BP2" i="64"/>
  <c r="BO2" i="64"/>
  <c r="BN2" i="64"/>
  <c r="BM2" i="64"/>
  <c r="BL2" i="64"/>
  <c r="BK2" i="64"/>
  <c r="BJ2" i="64"/>
  <c r="BI2" i="64"/>
  <c r="BH2" i="64"/>
  <c r="BF2" i="64"/>
  <c r="BE2" i="64"/>
  <c r="BD2" i="64"/>
  <c r="BC2" i="64"/>
  <c r="BB2" i="64"/>
  <c r="BA2" i="64"/>
  <c r="AZ2" i="64"/>
  <c r="AY2" i="64"/>
  <c r="AX2" i="64"/>
  <c r="AW2" i="64"/>
  <c r="AV2" i="64"/>
  <c r="AU2" i="64"/>
  <c r="AT2" i="64"/>
  <c r="AS2" i="64"/>
  <c r="AR2" i="64"/>
  <c r="AQ2" i="64"/>
  <c r="AP2" i="64"/>
  <c r="AO2" i="64"/>
  <c r="AN2" i="64"/>
  <c r="AM2" i="64"/>
  <c r="AL2" i="64"/>
  <c r="AK2" i="64"/>
  <c r="AJ2" i="64"/>
  <c r="AI2" i="64"/>
  <c r="AH2" i="64"/>
  <c r="AG2" i="64"/>
  <c r="AF2" i="64"/>
  <c r="AD2" i="64"/>
  <c r="AC2" i="64"/>
  <c r="AB2" i="64"/>
  <c r="AA2" i="64"/>
  <c r="Z2" i="64"/>
  <c r="Y2" i="64"/>
  <c r="X2" i="64"/>
  <c r="W2" i="64"/>
  <c r="V2" i="64"/>
  <c r="U2" i="64"/>
  <c r="T2" i="64"/>
  <c r="S2" i="64"/>
  <c r="R2" i="64"/>
  <c r="Q2" i="64"/>
  <c r="P2" i="64"/>
  <c r="O2" i="64"/>
  <c r="N2" i="64"/>
  <c r="M2" i="64"/>
  <c r="L2" i="64"/>
  <c r="K2" i="64"/>
  <c r="J2" i="64"/>
  <c r="I2" i="64"/>
  <c r="H2" i="64"/>
  <c r="G2" i="64"/>
  <c r="F2" i="64"/>
  <c r="E2" i="64"/>
  <c r="D2" i="64"/>
  <c r="DJ4" i="63"/>
  <c r="DI4" i="63"/>
  <c r="DH4" i="63"/>
  <c r="DG4" i="63"/>
  <c r="DF4" i="63"/>
  <c r="DE4" i="63"/>
  <c r="DD4" i="63"/>
  <c r="DC4" i="63"/>
  <c r="DB4" i="63"/>
  <c r="DA4" i="63"/>
  <c r="CZ4" i="63"/>
  <c r="CY4" i="63"/>
  <c r="CX4" i="63"/>
  <c r="CW4" i="63"/>
  <c r="CV4" i="63"/>
  <c r="CU4" i="63"/>
  <c r="CT4" i="63"/>
  <c r="CS4" i="63"/>
  <c r="CR4" i="63"/>
  <c r="CQ4" i="63"/>
  <c r="CP4" i="63"/>
  <c r="CO4" i="63"/>
  <c r="CN4" i="63"/>
  <c r="CM4" i="63"/>
  <c r="CL4" i="63"/>
  <c r="CK4" i="63"/>
  <c r="CJ4" i="63"/>
  <c r="CH4" i="63"/>
  <c r="CG4" i="63"/>
  <c r="CF4" i="63"/>
  <c r="CE4" i="63"/>
  <c r="CD4" i="63"/>
  <c r="CC4" i="63"/>
  <c r="CB4" i="63"/>
  <c r="CA4" i="63"/>
  <c r="BZ4" i="63"/>
  <c r="BY4" i="63"/>
  <c r="BX4" i="63"/>
  <c r="BW4" i="63"/>
  <c r="BV4" i="63"/>
  <c r="BU4" i="63"/>
  <c r="BT4" i="63"/>
  <c r="BS4" i="63"/>
  <c r="BR4" i="63"/>
  <c r="BQ4" i="63"/>
  <c r="BP4" i="63"/>
  <c r="BO4" i="63"/>
  <c r="BN4" i="63"/>
  <c r="BM4" i="63"/>
  <c r="BL4" i="63"/>
  <c r="BK4" i="63"/>
  <c r="BJ4" i="63"/>
  <c r="BI4" i="63"/>
  <c r="BH4" i="63"/>
  <c r="BF4" i="63"/>
  <c r="BE4" i="63"/>
  <c r="BD4" i="63"/>
  <c r="BC4" i="63"/>
  <c r="BB4" i="63"/>
  <c r="BA4" i="63"/>
  <c r="AZ4" i="63"/>
  <c r="AY4" i="63"/>
  <c r="AX4" i="63"/>
  <c r="AW4" i="63"/>
  <c r="AV4" i="63"/>
  <c r="AU4" i="63"/>
  <c r="AT4" i="63"/>
  <c r="AS4" i="63"/>
  <c r="AR4" i="63"/>
  <c r="AQ4" i="63"/>
  <c r="AP4" i="63"/>
  <c r="AO4" i="63"/>
  <c r="AN4" i="63"/>
  <c r="AM4" i="63"/>
  <c r="AL4" i="63"/>
  <c r="AK4" i="63"/>
  <c r="AJ4" i="63"/>
  <c r="AI4" i="63"/>
  <c r="AH4" i="63"/>
  <c r="AG4" i="63"/>
  <c r="AF4" i="63"/>
  <c r="AD4" i="63"/>
  <c r="AC4" i="63"/>
  <c r="AB4" i="63"/>
  <c r="AA4" i="63"/>
  <c r="Z4" i="63"/>
  <c r="Y4" i="63"/>
  <c r="X4" i="63"/>
  <c r="W4" i="63"/>
  <c r="V4" i="63"/>
  <c r="U4" i="63"/>
  <c r="T4" i="63"/>
  <c r="S4" i="63"/>
  <c r="R4" i="63"/>
  <c r="Q4" i="63"/>
  <c r="P4" i="63"/>
  <c r="O4" i="63"/>
  <c r="N4" i="63"/>
  <c r="M4" i="63"/>
  <c r="L4" i="63"/>
  <c r="K4" i="63"/>
  <c r="J4" i="63"/>
  <c r="I4" i="63"/>
  <c r="H4" i="63"/>
  <c r="G4" i="63"/>
  <c r="F4" i="63"/>
  <c r="E4" i="63"/>
  <c r="D4" i="63"/>
  <c r="C4" i="63"/>
  <c r="DK3" i="63"/>
  <c r="DJ3" i="63"/>
  <c r="DI3" i="63"/>
  <c r="DH3" i="63"/>
  <c r="DG3" i="63"/>
  <c r="DF3" i="63"/>
  <c r="DE3" i="63"/>
  <c r="DD3" i="63"/>
  <c r="DC3" i="63"/>
  <c r="DB3" i="63"/>
  <c r="DA3" i="63"/>
  <c r="CZ3" i="63"/>
  <c r="CY3" i="63"/>
  <c r="CX3" i="63"/>
  <c r="CW3" i="63"/>
  <c r="CV3" i="63"/>
  <c r="CU3" i="63"/>
  <c r="CT3" i="63"/>
  <c r="CS3" i="63"/>
  <c r="CR3" i="63"/>
  <c r="CQ3" i="63"/>
  <c r="CP3" i="63"/>
  <c r="CO3" i="63"/>
  <c r="CN3" i="63"/>
  <c r="CM3" i="63"/>
  <c r="CL3" i="63"/>
  <c r="CK3" i="63"/>
  <c r="CJ3" i="63"/>
  <c r="CI3" i="63"/>
  <c r="CH3" i="63"/>
  <c r="CG3" i="63"/>
  <c r="CF3" i="63"/>
  <c r="CE3" i="63"/>
  <c r="CD3" i="63"/>
  <c r="CC3" i="63"/>
  <c r="CB3" i="63"/>
  <c r="CA3" i="63"/>
  <c r="BZ3" i="63"/>
  <c r="BY3" i="63"/>
  <c r="BX3" i="63"/>
  <c r="BW3" i="63"/>
  <c r="BV3" i="63"/>
  <c r="BU3" i="63"/>
  <c r="BT3" i="63"/>
  <c r="BS3" i="63"/>
  <c r="BR3" i="63"/>
  <c r="BQ3" i="63"/>
  <c r="BP3" i="63"/>
  <c r="BO3" i="63"/>
  <c r="BN3" i="63"/>
  <c r="BM3" i="63"/>
  <c r="BL3" i="63"/>
  <c r="BK3" i="63"/>
  <c r="BJ3" i="63"/>
  <c r="BI3" i="63"/>
  <c r="BH3" i="63"/>
  <c r="BG3" i="63"/>
  <c r="BF3" i="63"/>
  <c r="BE3" i="63"/>
  <c r="BD3" i="63"/>
  <c r="BC3" i="63"/>
  <c r="BB3" i="63"/>
  <c r="BA3" i="63"/>
  <c r="AZ3" i="63"/>
  <c r="AY3" i="63"/>
  <c r="AX3" i="63"/>
  <c r="AW3" i="63"/>
  <c r="AV3" i="63"/>
  <c r="AU3" i="63"/>
  <c r="AT3" i="63"/>
  <c r="AS3" i="63"/>
  <c r="AR3" i="63"/>
  <c r="AQ3" i="63"/>
  <c r="AP3" i="63"/>
  <c r="AO3" i="63"/>
  <c r="AN3" i="63"/>
  <c r="AM3" i="63"/>
  <c r="AL3" i="63"/>
  <c r="AK3" i="63"/>
  <c r="AJ3" i="63"/>
  <c r="AI3" i="63"/>
  <c r="AH3" i="63"/>
  <c r="AG3" i="63"/>
  <c r="AF3" i="63"/>
  <c r="AE3" i="63"/>
  <c r="AD3" i="63"/>
  <c r="AC3" i="63"/>
  <c r="AB3" i="63"/>
  <c r="AA3" i="63"/>
  <c r="Z3" i="63"/>
  <c r="Y3" i="63"/>
  <c r="X3" i="63"/>
  <c r="W3" i="63"/>
  <c r="V3" i="63"/>
  <c r="U3" i="63"/>
  <c r="T3" i="63"/>
  <c r="S3" i="63"/>
  <c r="R3" i="63"/>
  <c r="Q3" i="63"/>
  <c r="P3" i="63"/>
  <c r="O3" i="63"/>
  <c r="N3" i="63"/>
  <c r="M3" i="63"/>
  <c r="L3" i="63"/>
  <c r="K3" i="63"/>
  <c r="J3" i="63"/>
  <c r="I3" i="63"/>
  <c r="H3" i="63"/>
  <c r="G3" i="63"/>
  <c r="F3" i="63"/>
  <c r="E3" i="63"/>
  <c r="D3" i="63"/>
  <c r="B3" i="63"/>
  <c r="C35" i="63" s="1"/>
  <c r="A35" i="63" s="1"/>
  <c r="DJ2" i="63"/>
  <c r="DI2" i="63"/>
  <c r="DH2" i="63"/>
  <c r="DG2" i="63"/>
  <c r="DF2" i="63"/>
  <c r="DE2" i="63"/>
  <c r="DD2" i="63"/>
  <c r="DC2" i="63"/>
  <c r="DB2" i="63"/>
  <c r="DA2" i="63"/>
  <c r="CZ2" i="63"/>
  <c r="CY2" i="63"/>
  <c r="CX2" i="63"/>
  <c r="CW2" i="63"/>
  <c r="CV2" i="63"/>
  <c r="CU2" i="63"/>
  <c r="CT2" i="63"/>
  <c r="CS2" i="63"/>
  <c r="CR2" i="63"/>
  <c r="CQ2" i="63"/>
  <c r="CP2" i="63"/>
  <c r="CO2" i="63"/>
  <c r="CN2" i="63"/>
  <c r="CM2" i="63"/>
  <c r="CL2" i="63"/>
  <c r="CK2" i="63"/>
  <c r="CJ2" i="63"/>
  <c r="CH2" i="63"/>
  <c r="CG2" i="63"/>
  <c r="CF2" i="63"/>
  <c r="CE2" i="63"/>
  <c r="CD2" i="63"/>
  <c r="CC2" i="63"/>
  <c r="CB2" i="63"/>
  <c r="CA2" i="63"/>
  <c r="BZ2" i="63"/>
  <c r="BY2" i="63"/>
  <c r="BX2" i="63"/>
  <c r="BW2" i="63"/>
  <c r="BV2" i="63"/>
  <c r="BU2" i="63"/>
  <c r="BT2" i="63"/>
  <c r="BS2" i="63"/>
  <c r="BR2" i="63"/>
  <c r="BQ2" i="63"/>
  <c r="BP2" i="63"/>
  <c r="BO2" i="63"/>
  <c r="BN2" i="63"/>
  <c r="BM2" i="63"/>
  <c r="BL2" i="63"/>
  <c r="BK2" i="63"/>
  <c r="BJ2" i="63"/>
  <c r="BI2" i="63"/>
  <c r="BH2" i="63"/>
  <c r="BF2" i="63"/>
  <c r="BE2" i="63"/>
  <c r="BD2" i="63"/>
  <c r="BC2" i="63"/>
  <c r="BB2" i="63"/>
  <c r="BA2" i="63"/>
  <c r="AZ2" i="63"/>
  <c r="AY2" i="63"/>
  <c r="AX2" i="63"/>
  <c r="AW2" i="63"/>
  <c r="AV2" i="63"/>
  <c r="AU2" i="63"/>
  <c r="AT2" i="63"/>
  <c r="AS2" i="63"/>
  <c r="AR2" i="63"/>
  <c r="AQ2" i="63"/>
  <c r="AP2" i="63"/>
  <c r="AO2" i="63"/>
  <c r="AN2" i="63"/>
  <c r="AM2" i="63"/>
  <c r="AL2" i="63"/>
  <c r="AK2" i="63"/>
  <c r="AJ2" i="63"/>
  <c r="AI2" i="63"/>
  <c r="AH2" i="63"/>
  <c r="AG2" i="63"/>
  <c r="AF2" i="63"/>
  <c r="AD2" i="63"/>
  <c r="AC2" i="63"/>
  <c r="AB2" i="63"/>
  <c r="AA2" i="63"/>
  <c r="Z2" i="63"/>
  <c r="Y2" i="63"/>
  <c r="X2" i="63"/>
  <c r="W2" i="63"/>
  <c r="V2" i="63"/>
  <c r="U2" i="63"/>
  <c r="T2" i="63"/>
  <c r="S2" i="63"/>
  <c r="R2" i="63"/>
  <c r="Q2" i="63"/>
  <c r="P2" i="63"/>
  <c r="O2" i="63"/>
  <c r="N2" i="63"/>
  <c r="M2" i="63"/>
  <c r="L2" i="63"/>
  <c r="K2" i="63"/>
  <c r="J2" i="63"/>
  <c r="I2" i="63"/>
  <c r="H2" i="63"/>
  <c r="G2" i="63"/>
  <c r="F2" i="63"/>
  <c r="E2" i="63"/>
  <c r="D2" i="63"/>
  <c r="DJ4" i="62"/>
  <c r="DI4" i="62"/>
  <c r="DH4" i="62"/>
  <c r="DG4" i="62"/>
  <c r="DF4" i="62"/>
  <c r="DE4" i="62"/>
  <c r="DD4" i="62"/>
  <c r="DC4" i="62"/>
  <c r="DB4" i="62"/>
  <c r="DA4" i="62"/>
  <c r="CZ4" i="62"/>
  <c r="CY4" i="62"/>
  <c r="CX4" i="62"/>
  <c r="CW4" i="62"/>
  <c r="CV4" i="62"/>
  <c r="CU4" i="62"/>
  <c r="CT4" i="62"/>
  <c r="CS4" i="62"/>
  <c r="CR4" i="62"/>
  <c r="CQ4" i="62"/>
  <c r="CP4" i="62"/>
  <c r="CO4" i="62"/>
  <c r="CN4" i="62"/>
  <c r="CM4" i="62"/>
  <c r="CL4" i="62"/>
  <c r="CK4" i="62"/>
  <c r="CJ4" i="62"/>
  <c r="CH4" i="62"/>
  <c r="CG4" i="62"/>
  <c r="CF4" i="62"/>
  <c r="CE4" i="62"/>
  <c r="CD4" i="62"/>
  <c r="CC4" i="62"/>
  <c r="CB4" i="62"/>
  <c r="CA4" i="62"/>
  <c r="BZ4" i="62"/>
  <c r="BY4" i="62"/>
  <c r="BX4" i="62"/>
  <c r="BW4" i="62"/>
  <c r="BV4" i="62"/>
  <c r="BU4" i="62"/>
  <c r="BT4" i="62"/>
  <c r="BS4" i="62"/>
  <c r="BR4" i="62"/>
  <c r="BQ4" i="62"/>
  <c r="BP4" i="62"/>
  <c r="BO4" i="62"/>
  <c r="BN4" i="62"/>
  <c r="BM4" i="62"/>
  <c r="BL4" i="62"/>
  <c r="BK4" i="62"/>
  <c r="BJ4" i="62"/>
  <c r="BI4" i="62"/>
  <c r="BH4" i="62"/>
  <c r="BF4" i="62"/>
  <c r="BE4" i="62"/>
  <c r="BD4" i="62"/>
  <c r="BC4" i="62"/>
  <c r="BB4" i="62"/>
  <c r="BA4" i="62"/>
  <c r="AZ4" i="62"/>
  <c r="AY4" i="62"/>
  <c r="AX4" i="62"/>
  <c r="AW4" i="62"/>
  <c r="AV4" i="62"/>
  <c r="AU4" i="62"/>
  <c r="AT4" i="62"/>
  <c r="AS4" i="62"/>
  <c r="AR4" i="62"/>
  <c r="AQ4" i="62"/>
  <c r="AP4" i="62"/>
  <c r="AO4" i="62"/>
  <c r="AN4" i="62"/>
  <c r="AM4" i="62"/>
  <c r="AL4" i="62"/>
  <c r="AK4" i="62"/>
  <c r="AJ4" i="62"/>
  <c r="AI4" i="62"/>
  <c r="AH4" i="62"/>
  <c r="AG4" i="62"/>
  <c r="AF4" i="62"/>
  <c r="AD4" i="62"/>
  <c r="AC4" i="62"/>
  <c r="AB4" i="62"/>
  <c r="AA4" i="62"/>
  <c r="Z4" i="62"/>
  <c r="Y4" i="62"/>
  <c r="X4" i="62"/>
  <c r="W4" i="62"/>
  <c r="V4" i="62"/>
  <c r="U4" i="62"/>
  <c r="T4" i="62"/>
  <c r="S4" i="62"/>
  <c r="R4" i="62"/>
  <c r="Q4" i="62"/>
  <c r="P4" i="62"/>
  <c r="O4" i="62"/>
  <c r="N4" i="62"/>
  <c r="M4" i="62"/>
  <c r="L4" i="62"/>
  <c r="K4" i="62"/>
  <c r="J4" i="62"/>
  <c r="I4" i="62"/>
  <c r="H4" i="62"/>
  <c r="G4" i="62"/>
  <c r="F4" i="62"/>
  <c r="E4" i="62"/>
  <c r="D4" i="62"/>
  <c r="C4" i="62"/>
  <c r="DK3" i="62"/>
  <c r="DJ3" i="62"/>
  <c r="DI3" i="62"/>
  <c r="DH3" i="62"/>
  <c r="DG3" i="62"/>
  <c r="DF3" i="62"/>
  <c r="DE3" i="62"/>
  <c r="DD3" i="62"/>
  <c r="DC3" i="62"/>
  <c r="DB3" i="62"/>
  <c r="DA3" i="62"/>
  <c r="CZ3" i="62"/>
  <c r="CY3" i="62"/>
  <c r="CX3" i="62"/>
  <c r="CW3" i="62"/>
  <c r="CV3" i="62"/>
  <c r="CU3" i="62"/>
  <c r="CT3" i="62"/>
  <c r="CS3" i="62"/>
  <c r="CR3" i="62"/>
  <c r="CQ3" i="62"/>
  <c r="CP3" i="62"/>
  <c r="CO3" i="62"/>
  <c r="CN3" i="62"/>
  <c r="CM3" i="62"/>
  <c r="CL3" i="62"/>
  <c r="CK3" i="62"/>
  <c r="CJ3" i="62"/>
  <c r="CI3" i="62"/>
  <c r="CH3" i="62"/>
  <c r="CG3" i="62"/>
  <c r="CF3" i="62"/>
  <c r="CE3" i="62"/>
  <c r="CD3" i="62"/>
  <c r="CC3" i="62"/>
  <c r="CB3" i="62"/>
  <c r="CA3" i="62"/>
  <c r="BZ3" i="62"/>
  <c r="BY3" i="62"/>
  <c r="BX3" i="62"/>
  <c r="BW3" i="62"/>
  <c r="BV3" i="62"/>
  <c r="BU3" i="62"/>
  <c r="BT3" i="62"/>
  <c r="BS3" i="62"/>
  <c r="BR3" i="62"/>
  <c r="BQ3" i="62"/>
  <c r="BP3" i="62"/>
  <c r="BO3" i="62"/>
  <c r="BN3" i="62"/>
  <c r="BM3" i="62"/>
  <c r="BL3" i="62"/>
  <c r="BK3" i="62"/>
  <c r="BJ3" i="62"/>
  <c r="BI3" i="62"/>
  <c r="BH3" i="62"/>
  <c r="BG3" i="62"/>
  <c r="BF3" i="62"/>
  <c r="BE3" i="62"/>
  <c r="BD3" i="62"/>
  <c r="BC3" i="62"/>
  <c r="BB3" i="62"/>
  <c r="BA3" i="62"/>
  <c r="AZ3" i="62"/>
  <c r="AY3" i="62"/>
  <c r="AX3" i="62"/>
  <c r="AW3" i="62"/>
  <c r="AV3" i="62"/>
  <c r="AU3" i="62"/>
  <c r="AT3" i="62"/>
  <c r="AS3" i="62"/>
  <c r="AR3" i="62"/>
  <c r="AQ3" i="62"/>
  <c r="AP3" i="62"/>
  <c r="AO3" i="62"/>
  <c r="AN3" i="62"/>
  <c r="AM3" i="62"/>
  <c r="AL3" i="62"/>
  <c r="AK3" i="62"/>
  <c r="AJ3" i="62"/>
  <c r="AI3" i="62"/>
  <c r="AH3" i="62"/>
  <c r="AG3" i="62"/>
  <c r="AF3" i="62"/>
  <c r="AE3" i="62"/>
  <c r="AD3" i="62"/>
  <c r="AC3" i="62"/>
  <c r="AB3" i="62"/>
  <c r="AA3" i="62"/>
  <c r="Z3" i="62"/>
  <c r="Y3" i="62"/>
  <c r="X3" i="62"/>
  <c r="W3" i="62"/>
  <c r="V3" i="62"/>
  <c r="U3" i="62"/>
  <c r="T3" i="62"/>
  <c r="S3" i="62"/>
  <c r="R3" i="62"/>
  <c r="Q3" i="62"/>
  <c r="P3" i="62"/>
  <c r="O3" i="62"/>
  <c r="N3" i="62"/>
  <c r="M3" i="62"/>
  <c r="L3" i="62"/>
  <c r="K3" i="62"/>
  <c r="J3" i="62"/>
  <c r="I3" i="62"/>
  <c r="H3" i="62"/>
  <c r="G3" i="62"/>
  <c r="F3" i="62"/>
  <c r="E3" i="62"/>
  <c r="D3" i="62"/>
  <c r="B3" i="62"/>
  <c r="A35" i="62" s="1"/>
  <c r="DJ2" i="62"/>
  <c r="DI2" i="62"/>
  <c r="DH2" i="62"/>
  <c r="DG2" i="62"/>
  <c r="DF2" i="62"/>
  <c r="DE2" i="62"/>
  <c r="DD2" i="62"/>
  <c r="DC2" i="62"/>
  <c r="DB2" i="62"/>
  <c r="DA2" i="62"/>
  <c r="CZ2" i="62"/>
  <c r="CY2" i="62"/>
  <c r="CX2" i="62"/>
  <c r="CW2" i="62"/>
  <c r="CV2" i="62"/>
  <c r="CU2" i="62"/>
  <c r="CT2" i="62"/>
  <c r="CS2" i="62"/>
  <c r="CR2" i="62"/>
  <c r="CQ2" i="62"/>
  <c r="CP2" i="62"/>
  <c r="CO2" i="62"/>
  <c r="CN2" i="62"/>
  <c r="CM2" i="62"/>
  <c r="CL2" i="62"/>
  <c r="CK2" i="62"/>
  <c r="CJ2" i="62"/>
  <c r="CH2" i="62"/>
  <c r="CG2" i="62"/>
  <c r="CF2" i="62"/>
  <c r="CE2" i="62"/>
  <c r="CD2" i="62"/>
  <c r="CC2" i="62"/>
  <c r="CB2" i="62"/>
  <c r="CA2" i="62"/>
  <c r="BZ2" i="62"/>
  <c r="BY2" i="62"/>
  <c r="BX2" i="62"/>
  <c r="BW2" i="62"/>
  <c r="BV2" i="62"/>
  <c r="BU2" i="62"/>
  <c r="BT2" i="62"/>
  <c r="BS2" i="62"/>
  <c r="BR2" i="62"/>
  <c r="BQ2" i="62"/>
  <c r="BP2" i="62"/>
  <c r="BO2" i="62"/>
  <c r="BN2" i="62"/>
  <c r="BM2" i="62"/>
  <c r="BL2" i="62"/>
  <c r="BK2" i="62"/>
  <c r="BJ2" i="62"/>
  <c r="BI2" i="62"/>
  <c r="BH2" i="62"/>
  <c r="BF2" i="62"/>
  <c r="BE2" i="62"/>
  <c r="BD2" i="62"/>
  <c r="BC2" i="62"/>
  <c r="BB2" i="62"/>
  <c r="BA2" i="62"/>
  <c r="AZ2" i="62"/>
  <c r="AY2" i="62"/>
  <c r="AX2" i="62"/>
  <c r="AW2" i="62"/>
  <c r="AV2" i="62"/>
  <c r="AU2" i="62"/>
  <c r="AT2" i="62"/>
  <c r="AS2" i="62"/>
  <c r="AR2" i="62"/>
  <c r="AQ2" i="62"/>
  <c r="AP2" i="62"/>
  <c r="AO2" i="62"/>
  <c r="AN2" i="62"/>
  <c r="AM2" i="62"/>
  <c r="AL2" i="62"/>
  <c r="AK2" i="62"/>
  <c r="AJ2" i="62"/>
  <c r="AI2" i="62"/>
  <c r="AH2" i="62"/>
  <c r="AG2" i="62"/>
  <c r="AF2" i="62"/>
  <c r="AD2" i="62"/>
  <c r="AC2" i="62"/>
  <c r="AB2" i="62"/>
  <c r="AA2" i="62"/>
  <c r="Z2" i="62"/>
  <c r="Y2" i="62"/>
  <c r="X2" i="62"/>
  <c r="W2" i="62"/>
  <c r="V2" i="62"/>
  <c r="U2" i="62"/>
  <c r="T2" i="62"/>
  <c r="S2" i="62"/>
  <c r="R2" i="62"/>
  <c r="Q2" i="62"/>
  <c r="P2" i="62"/>
  <c r="O2" i="62"/>
  <c r="N2" i="62"/>
  <c r="M2" i="62"/>
  <c r="L2" i="62"/>
  <c r="K2" i="62"/>
  <c r="J2" i="62"/>
  <c r="I2" i="62"/>
  <c r="H2" i="62"/>
  <c r="G2" i="62"/>
  <c r="F2" i="62"/>
  <c r="E2" i="62"/>
  <c r="D2" i="62"/>
  <c r="DK3" i="12"/>
  <c r="DJ4" i="12"/>
  <c r="DI4" i="12"/>
  <c r="DH4" i="12"/>
  <c r="DG4" i="12"/>
  <c r="DF4" i="12"/>
  <c r="DE4" i="12"/>
  <c r="DD4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DJ3" i="12"/>
  <c r="DI3" i="12"/>
  <c r="DH3" i="12"/>
  <c r="DG3" i="12"/>
  <c r="DF3" i="12"/>
  <c r="DE3" i="12"/>
  <c r="DD3" i="12"/>
  <c r="DC3" i="12"/>
  <c r="DB3" i="12"/>
  <c r="DA3" i="12"/>
  <c r="CZ3" i="12"/>
  <c r="CY3" i="12"/>
  <c r="CX3" i="12"/>
  <c r="CW3" i="12"/>
  <c r="CV3" i="12"/>
  <c r="CU3" i="12"/>
  <c r="CT3" i="12"/>
  <c r="CS3" i="12"/>
  <c r="CR3" i="12"/>
  <c r="CQ3" i="12"/>
  <c r="CP3" i="12"/>
  <c r="CO3" i="12"/>
  <c r="CN3" i="12"/>
  <c r="CM3" i="12"/>
  <c r="CL3" i="12"/>
  <c r="CK3" i="12"/>
  <c r="CJ3" i="12"/>
  <c r="DJ2" i="12"/>
  <c r="DI2" i="12"/>
  <c r="DH2" i="12"/>
  <c r="DG2" i="12"/>
  <c r="DF2" i="12"/>
  <c r="DE2" i="12"/>
  <c r="DD2" i="12"/>
  <c r="DC2" i="12"/>
  <c r="DB2" i="12"/>
  <c r="DA2" i="12"/>
  <c r="CZ2" i="12"/>
  <c r="CY2" i="12"/>
  <c r="CX2" i="12"/>
  <c r="CW2" i="12"/>
  <c r="CV2" i="12"/>
  <c r="CU2" i="12"/>
  <c r="CT2" i="12"/>
  <c r="CS2" i="12"/>
  <c r="CR2" i="12"/>
  <c r="CQ2" i="12"/>
  <c r="CP2" i="12"/>
  <c r="CO2" i="12"/>
  <c r="CN2" i="12"/>
  <c r="CM2" i="12"/>
  <c r="CL2" i="12"/>
  <c r="CK2" i="12"/>
  <c r="CJ2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CI3" i="12"/>
  <c r="BG3" i="12"/>
  <c r="AE3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E3" i="12"/>
  <c r="D3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CI3" i="61"/>
  <c r="DK3" i="61"/>
  <c r="DJ4" i="61"/>
  <c r="DI4" i="61"/>
  <c r="DH4" i="61"/>
  <c r="DG4" i="61"/>
  <c r="DF4" i="61"/>
  <c r="DE4" i="61"/>
  <c r="DD4" i="61"/>
  <c r="DC4" i="61"/>
  <c r="DB4" i="61"/>
  <c r="DA4" i="61"/>
  <c r="CZ4" i="61"/>
  <c r="CY4" i="61"/>
  <c r="CX4" i="61"/>
  <c r="CW4" i="61"/>
  <c r="CV4" i="61"/>
  <c r="CU4" i="61"/>
  <c r="CT4" i="61"/>
  <c r="CS4" i="61"/>
  <c r="CR4" i="61"/>
  <c r="CQ4" i="61"/>
  <c r="CP4" i="61"/>
  <c r="CO4" i="61"/>
  <c r="CN4" i="61"/>
  <c r="CM4" i="61"/>
  <c r="CL4" i="61"/>
  <c r="CK4" i="61"/>
  <c r="CJ4" i="61"/>
  <c r="DJ3" i="61"/>
  <c r="DI3" i="61"/>
  <c r="DH3" i="61"/>
  <c r="DG3" i="61"/>
  <c r="DF3" i="61"/>
  <c r="DE3" i="61"/>
  <c r="DD3" i="61"/>
  <c r="DC3" i="61"/>
  <c r="DB3" i="61"/>
  <c r="DA3" i="61"/>
  <c r="CZ3" i="61"/>
  <c r="CY3" i="61"/>
  <c r="CX3" i="61"/>
  <c r="CW3" i="61"/>
  <c r="CV3" i="61"/>
  <c r="CU3" i="61"/>
  <c r="CT3" i="61"/>
  <c r="CS3" i="61"/>
  <c r="CR3" i="61"/>
  <c r="CQ3" i="61"/>
  <c r="CP3" i="61"/>
  <c r="CO3" i="61"/>
  <c r="CN3" i="61"/>
  <c r="CM3" i="61"/>
  <c r="CL3" i="61"/>
  <c r="CK3" i="61"/>
  <c r="CJ3" i="61"/>
  <c r="DJ2" i="61"/>
  <c r="DI2" i="61"/>
  <c r="DH2" i="61"/>
  <c r="DG2" i="61"/>
  <c r="DF2" i="61"/>
  <c r="DE2" i="61"/>
  <c r="DD2" i="61"/>
  <c r="DC2" i="61"/>
  <c r="DB2" i="61"/>
  <c r="DA2" i="61"/>
  <c r="CZ2" i="61"/>
  <c r="CY2" i="61"/>
  <c r="CX2" i="61"/>
  <c r="CW2" i="61"/>
  <c r="CV2" i="61"/>
  <c r="CU2" i="61"/>
  <c r="CT2" i="61"/>
  <c r="CS2" i="61"/>
  <c r="CR2" i="61"/>
  <c r="CQ2" i="61"/>
  <c r="CP2" i="61"/>
  <c r="CO2" i="61"/>
  <c r="CN2" i="61"/>
  <c r="CM2" i="61"/>
  <c r="CL2" i="61"/>
  <c r="CK2" i="61"/>
  <c r="CJ2" i="61"/>
  <c r="BG3" i="61"/>
  <c r="CH4" i="61"/>
  <c r="CG4" i="61"/>
  <c r="CF4" i="61"/>
  <c r="CE4" i="61"/>
  <c r="CD4" i="61"/>
  <c r="CC4" i="61"/>
  <c r="CB4" i="61"/>
  <c r="CA4" i="61"/>
  <c r="BZ4" i="61"/>
  <c r="BY4" i="61"/>
  <c r="BX4" i="61"/>
  <c r="BW4" i="61"/>
  <c r="BV4" i="61"/>
  <c r="BU4" i="61"/>
  <c r="BT4" i="61"/>
  <c r="BS4" i="61"/>
  <c r="BR4" i="61"/>
  <c r="BQ4" i="61"/>
  <c r="BP4" i="61"/>
  <c r="BO4" i="61"/>
  <c r="BN4" i="61"/>
  <c r="BM4" i="61"/>
  <c r="BL4" i="61"/>
  <c r="BK4" i="61"/>
  <c r="BJ4" i="61"/>
  <c r="BI4" i="61"/>
  <c r="BH4" i="61"/>
  <c r="CH3" i="61"/>
  <c r="CG3" i="61"/>
  <c r="CF3" i="61"/>
  <c r="CE3" i="61"/>
  <c r="CD3" i="61"/>
  <c r="CC3" i="61"/>
  <c r="CB3" i="61"/>
  <c r="CA3" i="61"/>
  <c r="BZ3" i="61"/>
  <c r="BY3" i="61"/>
  <c r="BX3" i="61"/>
  <c r="BW3" i="61"/>
  <c r="BV3" i="61"/>
  <c r="BU3" i="61"/>
  <c r="BT3" i="61"/>
  <c r="BS3" i="61"/>
  <c r="BR3" i="61"/>
  <c r="BQ3" i="61"/>
  <c r="BP3" i="61"/>
  <c r="BO3" i="61"/>
  <c r="BN3" i="61"/>
  <c r="BM3" i="61"/>
  <c r="BL3" i="61"/>
  <c r="BK3" i="61"/>
  <c r="BJ3" i="61"/>
  <c r="BI3" i="61"/>
  <c r="BH3" i="61"/>
  <c r="CH2" i="61"/>
  <c r="CG2" i="61"/>
  <c r="CF2" i="61"/>
  <c r="CE2" i="61"/>
  <c r="CD2" i="61"/>
  <c r="CC2" i="61"/>
  <c r="CB2" i="61"/>
  <c r="CA2" i="61"/>
  <c r="BZ2" i="61"/>
  <c r="BY2" i="61"/>
  <c r="BX2" i="61"/>
  <c r="BW2" i="61"/>
  <c r="BV2" i="61"/>
  <c r="BU2" i="61"/>
  <c r="BT2" i="61"/>
  <c r="BS2" i="61"/>
  <c r="BR2" i="61"/>
  <c r="BQ2" i="61"/>
  <c r="BP2" i="61"/>
  <c r="BO2" i="61"/>
  <c r="BN2" i="61"/>
  <c r="BM2" i="61"/>
  <c r="BL2" i="61"/>
  <c r="BK2" i="61"/>
  <c r="BJ2" i="61"/>
  <c r="BI2" i="61"/>
  <c r="BH2" i="61"/>
  <c r="BF2" i="61"/>
  <c r="BE2" i="61"/>
  <c r="BD2" i="61"/>
  <c r="BC2" i="61"/>
  <c r="BB2" i="61"/>
  <c r="BA2" i="61"/>
  <c r="AZ2" i="61"/>
  <c r="AY2" i="61"/>
  <c r="AX2" i="61"/>
  <c r="AW2" i="61"/>
  <c r="AV2" i="61"/>
  <c r="AU2" i="61"/>
  <c r="AT2" i="61"/>
  <c r="AS2" i="61"/>
  <c r="AR2" i="61"/>
  <c r="AQ2" i="61"/>
  <c r="AP2" i="61"/>
  <c r="AO2" i="61"/>
  <c r="AN2" i="61"/>
  <c r="AM2" i="61"/>
  <c r="AL2" i="61"/>
  <c r="AK2" i="61"/>
  <c r="AJ2" i="61"/>
  <c r="AI2" i="61"/>
  <c r="AH2" i="61"/>
  <c r="AG2" i="61"/>
  <c r="AF2" i="61"/>
  <c r="BF3" i="61"/>
  <c r="BE3" i="61"/>
  <c r="BD3" i="61"/>
  <c r="BC3" i="61"/>
  <c r="BB3" i="61"/>
  <c r="BA3" i="61"/>
  <c r="AZ3" i="61"/>
  <c r="AY3" i="61"/>
  <c r="AX3" i="61"/>
  <c r="AW3" i="61"/>
  <c r="AV3" i="61"/>
  <c r="AU3" i="61"/>
  <c r="AT3" i="61"/>
  <c r="AS3" i="61"/>
  <c r="AR3" i="61"/>
  <c r="AQ3" i="61"/>
  <c r="AP3" i="61"/>
  <c r="AO3" i="61"/>
  <c r="AN3" i="61"/>
  <c r="AM3" i="61"/>
  <c r="AL3" i="61"/>
  <c r="AK3" i="61"/>
  <c r="AJ3" i="61"/>
  <c r="BF4" i="61"/>
  <c r="BE4" i="61"/>
  <c r="BD4" i="61"/>
  <c r="BC4" i="61"/>
  <c r="BB4" i="61"/>
  <c r="BA4" i="61"/>
  <c r="AZ4" i="61"/>
  <c r="AY4" i="61"/>
  <c r="AX4" i="61"/>
  <c r="AW4" i="61"/>
  <c r="AV4" i="61"/>
  <c r="AU4" i="61"/>
  <c r="AT4" i="61"/>
  <c r="AS4" i="61"/>
  <c r="AR4" i="61"/>
  <c r="AQ4" i="61"/>
  <c r="AP4" i="61"/>
  <c r="AO4" i="61"/>
  <c r="AN4" i="61"/>
  <c r="AM4" i="61"/>
  <c r="AL4" i="61"/>
  <c r="AK4" i="61"/>
  <c r="AJ4" i="61"/>
  <c r="AI4" i="61"/>
  <c r="AH4" i="61"/>
  <c r="AG4" i="61"/>
  <c r="AF4" i="61"/>
  <c r="AI3" i="61"/>
  <c r="AH3" i="61"/>
  <c r="AG3" i="61"/>
  <c r="AF3" i="61"/>
  <c r="C6" i="67" l="1"/>
  <c r="A6" i="67" s="1"/>
  <c r="C10" i="67"/>
  <c r="A10" i="67" s="1"/>
  <c r="C14" i="67"/>
  <c r="A14" i="67" s="1"/>
  <c r="C18" i="67"/>
  <c r="A18" i="67" s="1"/>
  <c r="C32" i="67"/>
  <c r="A32" i="67" s="1"/>
  <c r="C8" i="67"/>
  <c r="A8" i="67" s="1"/>
  <c r="C12" i="67"/>
  <c r="A12" i="67" s="1"/>
  <c r="C16" i="67"/>
  <c r="A16" i="67" s="1"/>
  <c r="C20" i="67"/>
  <c r="A20" i="67" s="1"/>
  <c r="C22" i="67"/>
  <c r="A22" i="67" s="1"/>
  <c r="C24" i="67"/>
  <c r="A24" i="67" s="1"/>
  <c r="C26" i="67"/>
  <c r="A26" i="67" s="1"/>
  <c r="C28" i="67"/>
  <c r="A28" i="67" s="1"/>
  <c r="C30" i="67"/>
  <c r="A30" i="67" s="1"/>
  <c r="C34" i="67"/>
  <c r="A34" i="67" s="1"/>
  <c r="C5" i="67"/>
  <c r="A5" i="67" s="1"/>
  <c r="C7" i="67"/>
  <c r="A7" i="67" s="1"/>
  <c r="C9" i="67"/>
  <c r="A9" i="67" s="1"/>
  <c r="C11" i="67"/>
  <c r="A11" i="67" s="1"/>
  <c r="C13" i="67"/>
  <c r="A13" i="67" s="1"/>
  <c r="C15" i="67"/>
  <c r="A15" i="67" s="1"/>
  <c r="C17" i="67"/>
  <c r="A17" i="67" s="1"/>
  <c r="C19" i="67"/>
  <c r="A19" i="67" s="1"/>
  <c r="C21" i="67"/>
  <c r="A21" i="67" s="1"/>
  <c r="C23" i="67"/>
  <c r="A23" i="67" s="1"/>
  <c r="C25" i="67"/>
  <c r="A25" i="67" s="1"/>
  <c r="C27" i="67"/>
  <c r="A27" i="67" s="1"/>
  <c r="C29" i="67"/>
  <c r="A29" i="67" s="1"/>
  <c r="C31" i="67"/>
  <c r="A31" i="67" s="1"/>
  <c r="C33" i="67"/>
  <c r="A33" i="67" s="1"/>
  <c r="C6" i="66"/>
  <c r="A6" i="66" s="1"/>
  <c r="C9" i="66"/>
  <c r="A9" i="66" s="1"/>
  <c r="C14" i="66"/>
  <c r="A14" i="66" s="1"/>
  <c r="C17" i="66"/>
  <c r="A17" i="66" s="1"/>
  <c r="C22" i="66"/>
  <c r="A22" i="66" s="1"/>
  <c r="C25" i="66"/>
  <c r="A25" i="66" s="1"/>
  <c r="C30" i="66"/>
  <c r="A30" i="66" s="1"/>
  <c r="C33" i="66"/>
  <c r="A33" i="66" s="1"/>
  <c r="C7" i="66"/>
  <c r="A7" i="66" s="1"/>
  <c r="C12" i="66"/>
  <c r="A12" i="66" s="1"/>
  <c r="C15" i="66"/>
  <c r="A15" i="66" s="1"/>
  <c r="C20" i="66"/>
  <c r="A20" i="66" s="1"/>
  <c r="C23" i="66"/>
  <c r="A23" i="66" s="1"/>
  <c r="C28" i="66"/>
  <c r="A28" i="66" s="1"/>
  <c r="C31" i="66"/>
  <c r="A31" i="66" s="1"/>
  <c r="C5" i="66"/>
  <c r="A5" i="66" s="1"/>
  <c r="C10" i="66"/>
  <c r="A10" i="66" s="1"/>
  <c r="C13" i="66"/>
  <c r="A13" i="66" s="1"/>
  <c r="C18" i="66"/>
  <c r="A18" i="66" s="1"/>
  <c r="C21" i="66"/>
  <c r="A21" i="66" s="1"/>
  <c r="C26" i="66"/>
  <c r="A26" i="66" s="1"/>
  <c r="C29" i="66"/>
  <c r="A29" i="66" s="1"/>
  <c r="C34" i="66"/>
  <c r="A34" i="66" s="1"/>
  <c r="C8" i="66"/>
  <c r="A8" i="66" s="1"/>
  <c r="C11" i="66"/>
  <c r="A11" i="66" s="1"/>
  <c r="C16" i="66"/>
  <c r="A16" i="66" s="1"/>
  <c r="C19" i="66"/>
  <c r="A19" i="66" s="1"/>
  <c r="C24" i="66"/>
  <c r="A24" i="66" s="1"/>
  <c r="C27" i="66"/>
  <c r="A27" i="66" s="1"/>
  <c r="C32" i="66"/>
  <c r="A32" i="66" s="1"/>
  <c r="C5" i="71"/>
  <c r="A5" i="71" s="1"/>
  <c r="C7" i="71"/>
  <c r="A7" i="71" s="1"/>
  <c r="C9" i="71"/>
  <c r="A9" i="71" s="1"/>
  <c r="C11" i="71"/>
  <c r="A11" i="71" s="1"/>
  <c r="C13" i="71"/>
  <c r="A13" i="71" s="1"/>
  <c r="C15" i="71"/>
  <c r="A15" i="71" s="1"/>
  <c r="C17" i="71"/>
  <c r="A17" i="71" s="1"/>
  <c r="C19" i="71"/>
  <c r="A19" i="71" s="1"/>
  <c r="C21" i="71"/>
  <c r="A21" i="71" s="1"/>
  <c r="C23" i="71"/>
  <c r="A23" i="71" s="1"/>
  <c r="C25" i="71"/>
  <c r="A25" i="71" s="1"/>
  <c r="C27" i="71"/>
  <c r="A27" i="71" s="1"/>
  <c r="C29" i="71"/>
  <c r="A29" i="71" s="1"/>
  <c r="C31" i="71"/>
  <c r="A31" i="71" s="1"/>
  <c r="C33" i="71"/>
  <c r="A33" i="71" s="1"/>
  <c r="C35" i="71"/>
  <c r="A35" i="71" s="1"/>
  <c r="C6" i="71"/>
  <c r="A6" i="71" s="1"/>
  <c r="C8" i="71"/>
  <c r="A8" i="71" s="1"/>
  <c r="C10" i="71"/>
  <c r="A10" i="71" s="1"/>
  <c r="C12" i="71"/>
  <c r="A12" i="71" s="1"/>
  <c r="C14" i="71"/>
  <c r="A14" i="71" s="1"/>
  <c r="C16" i="71"/>
  <c r="A16" i="71" s="1"/>
  <c r="C18" i="71"/>
  <c r="A18" i="71" s="1"/>
  <c r="C20" i="71"/>
  <c r="A20" i="71" s="1"/>
  <c r="C22" i="71"/>
  <c r="A22" i="71" s="1"/>
  <c r="C24" i="71"/>
  <c r="A24" i="71" s="1"/>
  <c r="C26" i="71"/>
  <c r="A26" i="71" s="1"/>
  <c r="C28" i="71"/>
  <c r="A28" i="71" s="1"/>
  <c r="C30" i="71"/>
  <c r="A30" i="71" s="1"/>
  <c r="C32" i="71"/>
  <c r="A32" i="71" s="1"/>
  <c r="C6" i="70"/>
  <c r="A6" i="70" s="1"/>
  <c r="C10" i="70"/>
  <c r="A10" i="70" s="1"/>
  <c r="C14" i="70"/>
  <c r="A14" i="70" s="1"/>
  <c r="C18" i="70"/>
  <c r="A18" i="70" s="1"/>
  <c r="C22" i="70"/>
  <c r="A22" i="70" s="1"/>
  <c r="C26" i="70"/>
  <c r="A26" i="70" s="1"/>
  <c r="C30" i="70"/>
  <c r="A30" i="70" s="1"/>
  <c r="C34" i="70"/>
  <c r="A34" i="70" s="1"/>
  <c r="C7" i="70"/>
  <c r="A7" i="70" s="1"/>
  <c r="C11" i="70"/>
  <c r="A11" i="70" s="1"/>
  <c r="C15" i="70"/>
  <c r="A15" i="70" s="1"/>
  <c r="C19" i="70"/>
  <c r="A19" i="70" s="1"/>
  <c r="C23" i="70"/>
  <c r="A23" i="70" s="1"/>
  <c r="C27" i="70"/>
  <c r="A27" i="70" s="1"/>
  <c r="C31" i="70"/>
  <c r="A31" i="70" s="1"/>
  <c r="C35" i="70"/>
  <c r="A35" i="70" s="1"/>
  <c r="C8" i="70"/>
  <c r="A8" i="70" s="1"/>
  <c r="C12" i="70"/>
  <c r="A12" i="70" s="1"/>
  <c r="C16" i="70"/>
  <c r="A16" i="70" s="1"/>
  <c r="C20" i="70"/>
  <c r="A20" i="70" s="1"/>
  <c r="C24" i="70"/>
  <c r="A24" i="70" s="1"/>
  <c r="C28" i="70"/>
  <c r="A28" i="70" s="1"/>
  <c r="C32" i="70"/>
  <c r="A32" i="70" s="1"/>
  <c r="C5" i="70"/>
  <c r="A5" i="70" s="1"/>
  <c r="C9" i="70"/>
  <c r="A9" i="70" s="1"/>
  <c r="C13" i="70"/>
  <c r="A13" i="70" s="1"/>
  <c r="C17" i="70"/>
  <c r="A17" i="70" s="1"/>
  <c r="C21" i="70"/>
  <c r="A21" i="70" s="1"/>
  <c r="C25" i="70"/>
  <c r="A25" i="70" s="1"/>
  <c r="C29" i="70"/>
  <c r="A29" i="70" s="1"/>
  <c r="C27" i="72"/>
  <c r="A27" i="72" s="1"/>
  <c r="C8" i="72"/>
  <c r="A8" i="72" s="1"/>
  <c r="C12" i="72"/>
  <c r="A12" i="72" s="1"/>
  <c r="C16" i="72"/>
  <c r="A16" i="72" s="1"/>
  <c r="C20" i="72"/>
  <c r="A20" i="72" s="1"/>
  <c r="C24" i="72"/>
  <c r="A24" i="72" s="1"/>
  <c r="C28" i="72"/>
  <c r="A28" i="72" s="1"/>
  <c r="C32" i="72"/>
  <c r="A32" i="72" s="1"/>
  <c r="C19" i="72"/>
  <c r="A19" i="72" s="1"/>
  <c r="C5" i="72"/>
  <c r="A5" i="72" s="1"/>
  <c r="C9" i="72"/>
  <c r="A9" i="72" s="1"/>
  <c r="C13" i="72"/>
  <c r="A13" i="72" s="1"/>
  <c r="C17" i="72"/>
  <c r="A17" i="72" s="1"/>
  <c r="C21" i="72"/>
  <c r="A21" i="72" s="1"/>
  <c r="C25" i="72"/>
  <c r="A25" i="72" s="1"/>
  <c r="C29" i="72"/>
  <c r="A29" i="72" s="1"/>
  <c r="C33" i="72"/>
  <c r="A33" i="72" s="1"/>
  <c r="C6" i="72"/>
  <c r="A6" i="72" s="1"/>
  <c r="C10" i="72"/>
  <c r="A10" i="72" s="1"/>
  <c r="C14" i="72"/>
  <c r="A14" i="72" s="1"/>
  <c r="C18" i="72"/>
  <c r="A18" i="72" s="1"/>
  <c r="C22" i="72"/>
  <c r="A22" i="72" s="1"/>
  <c r="C26" i="72"/>
  <c r="A26" i="72" s="1"/>
  <c r="C30" i="72"/>
  <c r="A30" i="72" s="1"/>
  <c r="C34" i="72"/>
  <c r="A34" i="72" s="1"/>
  <c r="C7" i="72"/>
  <c r="A7" i="72" s="1"/>
  <c r="C11" i="72"/>
  <c r="A11" i="72" s="1"/>
  <c r="C15" i="72"/>
  <c r="A15" i="72" s="1"/>
  <c r="C23" i="72"/>
  <c r="A23" i="72" s="1"/>
  <c r="C31" i="72"/>
  <c r="A31" i="72" s="1"/>
  <c r="C6" i="65"/>
  <c r="A6" i="65" s="1"/>
  <c r="C8" i="65"/>
  <c r="A8" i="65" s="1"/>
  <c r="C10" i="65"/>
  <c r="A10" i="65" s="1"/>
  <c r="C12" i="65"/>
  <c r="A12" i="65" s="1"/>
  <c r="C14" i="65"/>
  <c r="A14" i="65" s="1"/>
  <c r="C16" i="65"/>
  <c r="A16" i="65" s="1"/>
  <c r="C18" i="65"/>
  <c r="A18" i="65" s="1"/>
  <c r="C20" i="65"/>
  <c r="A20" i="65" s="1"/>
  <c r="C22" i="65"/>
  <c r="A22" i="65" s="1"/>
  <c r="C24" i="65"/>
  <c r="A24" i="65" s="1"/>
  <c r="C26" i="65"/>
  <c r="A26" i="65" s="1"/>
  <c r="C28" i="65"/>
  <c r="A28" i="65" s="1"/>
  <c r="C30" i="65"/>
  <c r="A30" i="65" s="1"/>
  <c r="C32" i="65"/>
  <c r="A32" i="65" s="1"/>
  <c r="C34" i="65"/>
  <c r="A34" i="65" s="1"/>
  <c r="C5" i="65"/>
  <c r="A5" i="65" s="1"/>
  <c r="C7" i="65"/>
  <c r="A7" i="65" s="1"/>
  <c r="C9" i="65"/>
  <c r="A9" i="65" s="1"/>
  <c r="C11" i="65"/>
  <c r="A11" i="65" s="1"/>
  <c r="C13" i="65"/>
  <c r="A13" i="65" s="1"/>
  <c r="C15" i="65"/>
  <c r="A15" i="65" s="1"/>
  <c r="C17" i="65"/>
  <c r="A17" i="65" s="1"/>
  <c r="C19" i="65"/>
  <c r="A19" i="65" s="1"/>
  <c r="C21" i="65"/>
  <c r="A21" i="65" s="1"/>
  <c r="C23" i="65"/>
  <c r="A23" i="65" s="1"/>
  <c r="C25" i="65"/>
  <c r="A25" i="65" s="1"/>
  <c r="C27" i="65"/>
  <c r="A27" i="65" s="1"/>
  <c r="C29" i="65"/>
  <c r="A29" i="65" s="1"/>
  <c r="C31" i="65"/>
  <c r="A31" i="65" s="1"/>
  <c r="C33" i="65"/>
  <c r="A33" i="65" s="1"/>
  <c r="C6" i="64"/>
  <c r="A6" i="64" s="1"/>
  <c r="C8" i="64"/>
  <c r="A8" i="64" s="1"/>
  <c r="C10" i="64"/>
  <c r="A10" i="64" s="1"/>
  <c r="C12" i="64"/>
  <c r="A12" i="64" s="1"/>
  <c r="C14" i="64"/>
  <c r="A14" i="64" s="1"/>
  <c r="C16" i="64"/>
  <c r="A16" i="64" s="1"/>
  <c r="C18" i="64"/>
  <c r="A18" i="64" s="1"/>
  <c r="C20" i="64"/>
  <c r="A20" i="64" s="1"/>
  <c r="C22" i="64"/>
  <c r="A22" i="64" s="1"/>
  <c r="C24" i="64"/>
  <c r="A24" i="64" s="1"/>
  <c r="C26" i="64"/>
  <c r="A26" i="64" s="1"/>
  <c r="C28" i="64"/>
  <c r="A28" i="64" s="1"/>
  <c r="C30" i="64"/>
  <c r="A30" i="64" s="1"/>
  <c r="C32" i="64"/>
  <c r="A32" i="64" s="1"/>
  <c r="C34" i="64"/>
  <c r="A34" i="64" s="1"/>
  <c r="C5" i="64"/>
  <c r="A5" i="64" s="1"/>
  <c r="C7" i="64"/>
  <c r="A7" i="64" s="1"/>
  <c r="C9" i="64"/>
  <c r="A9" i="64" s="1"/>
  <c r="C11" i="64"/>
  <c r="A11" i="64" s="1"/>
  <c r="C13" i="64"/>
  <c r="A13" i="64" s="1"/>
  <c r="C15" i="64"/>
  <c r="A15" i="64" s="1"/>
  <c r="C17" i="64"/>
  <c r="A17" i="64" s="1"/>
  <c r="C19" i="64"/>
  <c r="A19" i="64" s="1"/>
  <c r="C21" i="64"/>
  <c r="A21" i="64" s="1"/>
  <c r="C23" i="64"/>
  <c r="A23" i="64" s="1"/>
  <c r="C25" i="64"/>
  <c r="A25" i="64" s="1"/>
  <c r="C27" i="64"/>
  <c r="A27" i="64" s="1"/>
  <c r="C29" i="64"/>
  <c r="A29" i="64" s="1"/>
  <c r="C31" i="64"/>
  <c r="A31" i="64" s="1"/>
  <c r="C33" i="64"/>
  <c r="A33" i="64" s="1"/>
  <c r="C6" i="63"/>
  <c r="A6" i="63" s="1"/>
  <c r="C8" i="63"/>
  <c r="A8" i="63" s="1"/>
  <c r="C10" i="63"/>
  <c r="A10" i="63" s="1"/>
  <c r="C12" i="63"/>
  <c r="A12" i="63" s="1"/>
  <c r="C14" i="63"/>
  <c r="A14" i="63" s="1"/>
  <c r="C16" i="63"/>
  <c r="A16" i="63" s="1"/>
  <c r="C18" i="63"/>
  <c r="A18" i="63" s="1"/>
  <c r="C20" i="63"/>
  <c r="A20" i="63" s="1"/>
  <c r="C22" i="63"/>
  <c r="A22" i="63" s="1"/>
  <c r="C24" i="63"/>
  <c r="A24" i="63" s="1"/>
  <c r="C26" i="63"/>
  <c r="A26" i="63" s="1"/>
  <c r="C28" i="63"/>
  <c r="A28" i="63" s="1"/>
  <c r="C30" i="63"/>
  <c r="A30" i="63" s="1"/>
  <c r="C32" i="63"/>
  <c r="A32" i="63" s="1"/>
  <c r="C34" i="63"/>
  <c r="A34" i="63" s="1"/>
  <c r="C5" i="63"/>
  <c r="A5" i="63" s="1"/>
  <c r="C7" i="63"/>
  <c r="A7" i="63" s="1"/>
  <c r="C9" i="63"/>
  <c r="A9" i="63" s="1"/>
  <c r="C11" i="63"/>
  <c r="A11" i="63" s="1"/>
  <c r="C13" i="63"/>
  <c r="A13" i="63" s="1"/>
  <c r="C15" i="63"/>
  <c r="A15" i="63" s="1"/>
  <c r="C17" i="63"/>
  <c r="A17" i="63" s="1"/>
  <c r="C19" i="63"/>
  <c r="A19" i="63" s="1"/>
  <c r="C21" i="63"/>
  <c r="A21" i="63" s="1"/>
  <c r="C23" i="63"/>
  <c r="A23" i="63" s="1"/>
  <c r="C25" i="63"/>
  <c r="A25" i="63" s="1"/>
  <c r="C27" i="63"/>
  <c r="A27" i="63" s="1"/>
  <c r="C29" i="63"/>
  <c r="A29" i="63" s="1"/>
  <c r="C31" i="63"/>
  <c r="A31" i="63" s="1"/>
  <c r="C33" i="63"/>
  <c r="A33" i="63" s="1"/>
  <c r="C6" i="62"/>
  <c r="A6" i="62" s="1"/>
  <c r="C8" i="62"/>
  <c r="A8" i="62" s="1"/>
  <c r="C10" i="62"/>
  <c r="A10" i="62" s="1"/>
  <c r="C12" i="62"/>
  <c r="A12" i="62" s="1"/>
  <c r="C14" i="62"/>
  <c r="A14" i="62" s="1"/>
  <c r="C16" i="62"/>
  <c r="A16" i="62" s="1"/>
  <c r="C18" i="62"/>
  <c r="A18" i="62" s="1"/>
  <c r="C20" i="62"/>
  <c r="A20" i="62" s="1"/>
  <c r="C22" i="62"/>
  <c r="A22" i="62" s="1"/>
  <c r="C24" i="62"/>
  <c r="A24" i="62" s="1"/>
  <c r="C26" i="62"/>
  <c r="A26" i="62" s="1"/>
  <c r="C28" i="62"/>
  <c r="A28" i="62" s="1"/>
  <c r="C30" i="62"/>
  <c r="A30" i="62" s="1"/>
  <c r="C32" i="62"/>
  <c r="A32" i="62" s="1"/>
  <c r="A34" i="62"/>
  <c r="C5" i="62"/>
  <c r="A5" i="62" s="1"/>
  <c r="C7" i="62"/>
  <c r="A7" i="62" s="1"/>
  <c r="C9" i="62"/>
  <c r="A9" i="62" s="1"/>
  <c r="C11" i="62"/>
  <c r="A11" i="62" s="1"/>
  <c r="C13" i="62"/>
  <c r="A13" i="62" s="1"/>
  <c r="C15" i="62"/>
  <c r="A15" i="62" s="1"/>
  <c r="C17" i="62"/>
  <c r="A17" i="62" s="1"/>
  <c r="C19" i="62"/>
  <c r="A19" i="62" s="1"/>
  <c r="C21" i="62"/>
  <c r="A21" i="62" s="1"/>
  <c r="C23" i="62"/>
  <c r="A23" i="62" s="1"/>
  <c r="C25" i="62"/>
  <c r="A25" i="62" s="1"/>
  <c r="C27" i="62"/>
  <c r="A27" i="62" s="1"/>
  <c r="C29" i="62"/>
  <c r="A29" i="62" s="1"/>
  <c r="C31" i="62"/>
  <c r="A31" i="62" s="1"/>
  <c r="C33" i="62"/>
  <c r="A33" i="62" s="1"/>
  <c r="C4" i="61"/>
  <c r="B3" i="61"/>
  <c r="C35" i="61" s="1"/>
  <c r="A35" i="61" s="1"/>
  <c r="C6" i="61" l="1"/>
  <c r="A6" i="61" s="1"/>
  <c r="C9" i="61"/>
  <c r="A9" i="61" s="1"/>
  <c r="C14" i="61"/>
  <c r="A14" i="61" s="1"/>
  <c r="C17" i="61"/>
  <c r="A17" i="61" s="1"/>
  <c r="C22" i="61"/>
  <c r="A22" i="61" s="1"/>
  <c r="C25" i="61"/>
  <c r="A25" i="61" s="1"/>
  <c r="C30" i="61"/>
  <c r="A30" i="61" s="1"/>
  <c r="C33" i="61"/>
  <c r="A33" i="61" s="1"/>
  <c r="C7" i="61"/>
  <c r="A7" i="61" s="1"/>
  <c r="C12" i="61"/>
  <c r="A12" i="61" s="1"/>
  <c r="C15" i="61"/>
  <c r="A15" i="61" s="1"/>
  <c r="C20" i="61"/>
  <c r="A20" i="61" s="1"/>
  <c r="C23" i="61"/>
  <c r="A23" i="61" s="1"/>
  <c r="C28" i="61"/>
  <c r="A28" i="61" s="1"/>
  <c r="C31" i="61"/>
  <c r="A31" i="61" s="1"/>
  <c r="C5" i="61"/>
  <c r="A5" i="61" s="1"/>
  <c r="C10" i="61"/>
  <c r="A10" i="61" s="1"/>
  <c r="C13" i="61"/>
  <c r="A13" i="61" s="1"/>
  <c r="C18" i="61"/>
  <c r="A18" i="61" s="1"/>
  <c r="C21" i="61"/>
  <c r="A21" i="61" s="1"/>
  <c r="C26" i="61"/>
  <c r="A26" i="61" s="1"/>
  <c r="C29" i="61"/>
  <c r="A29" i="61" s="1"/>
  <c r="C34" i="61"/>
  <c r="A34" i="61" s="1"/>
  <c r="C8" i="61"/>
  <c r="A8" i="61" s="1"/>
  <c r="C11" i="61"/>
  <c r="A11" i="61" s="1"/>
  <c r="C16" i="61"/>
  <c r="A16" i="61" s="1"/>
  <c r="C19" i="61"/>
  <c r="A19" i="61" s="1"/>
  <c r="C24" i="61"/>
  <c r="A24" i="61" s="1"/>
  <c r="C27" i="61"/>
  <c r="A27" i="61" s="1"/>
  <c r="C32" i="61"/>
  <c r="A32" i="61" s="1"/>
  <c r="C4" i="12" l="1"/>
  <c r="B3" i="12" l="1"/>
  <c r="C35" i="12" s="1"/>
  <c r="A35" i="12" s="1"/>
  <c r="C6" i="12" l="1"/>
  <c r="A6" i="12" s="1"/>
  <c r="C8" i="12"/>
  <c r="A8" i="12" s="1"/>
  <c r="C10" i="12"/>
  <c r="A10" i="12" s="1"/>
  <c r="C12" i="12"/>
  <c r="A12" i="12" s="1"/>
  <c r="C14" i="12"/>
  <c r="A14" i="12" s="1"/>
  <c r="C16" i="12"/>
  <c r="A16" i="12" s="1"/>
  <c r="C18" i="12"/>
  <c r="A18" i="12" s="1"/>
  <c r="C20" i="12"/>
  <c r="A20" i="12" s="1"/>
  <c r="C22" i="12"/>
  <c r="A22" i="12" s="1"/>
  <c r="C24" i="12"/>
  <c r="A24" i="12" s="1"/>
  <c r="C26" i="12"/>
  <c r="A26" i="12" s="1"/>
  <c r="C28" i="12"/>
  <c r="A28" i="12" s="1"/>
  <c r="C30" i="12"/>
  <c r="A30" i="12" s="1"/>
  <c r="C32" i="12"/>
  <c r="A32" i="12" s="1"/>
  <c r="C34" i="12"/>
  <c r="A34" i="12" s="1"/>
  <c r="C5" i="12"/>
  <c r="A5" i="12" s="1"/>
  <c r="C7" i="12"/>
  <c r="A7" i="12" s="1"/>
  <c r="C9" i="12"/>
  <c r="A9" i="12" s="1"/>
  <c r="C11" i="12"/>
  <c r="A11" i="12" s="1"/>
  <c r="C13" i="12"/>
  <c r="A13" i="12" s="1"/>
  <c r="C15" i="12"/>
  <c r="A15" i="12" s="1"/>
  <c r="C17" i="12"/>
  <c r="A17" i="12" s="1"/>
  <c r="C19" i="12"/>
  <c r="A19" i="12" s="1"/>
  <c r="C21" i="12"/>
  <c r="A21" i="12" s="1"/>
  <c r="C23" i="12"/>
  <c r="A23" i="12" s="1"/>
  <c r="C25" i="12"/>
  <c r="A25" i="12" s="1"/>
  <c r="C27" i="12"/>
  <c r="A27" i="12" s="1"/>
  <c r="C29" i="12"/>
  <c r="A29" i="12" s="1"/>
  <c r="C31" i="12"/>
  <c r="A31" i="12" s="1"/>
  <c r="C33" i="12"/>
  <c r="A33" i="12" s="1"/>
</calcChain>
</file>

<file path=xl/sharedStrings.xml><?xml version="1.0" encoding="utf-8"?>
<sst xmlns="http://schemas.openxmlformats.org/spreadsheetml/2006/main" count="289" uniqueCount="98">
  <si>
    <t>W</t>
  </si>
  <si>
    <t>M</t>
  </si>
  <si>
    <t>D</t>
  </si>
  <si>
    <t>Frequentie</t>
  </si>
  <si>
    <t>Check OK</t>
  </si>
  <si>
    <t>Omgeving</t>
  </si>
  <si>
    <t>Error (meteen opgelost)</t>
  </si>
  <si>
    <t>Legenda</t>
  </si>
  <si>
    <t>Geen check nodig</t>
  </si>
  <si>
    <t>April</t>
  </si>
  <si>
    <t>September</t>
  </si>
  <si>
    <t>November</t>
  </si>
  <si>
    <t>December</t>
  </si>
  <si>
    <t>Weekdag</t>
  </si>
  <si>
    <t>Dag</t>
  </si>
  <si>
    <t>Error (specialist incident aangemaakt)</t>
  </si>
  <si>
    <t>Weekend</t>
  </si>
  <si>
    <t>IF($A4=1;1;IF($A4=7;1;0))</t>
  </si>
  <si>
    <t>IF(D$2="M";IF($A4=2;IF($B4&gt;3;1;0);1);0)</t>
  </si>
  <si>
    <t>IF(D$2="W";IF($A4=2;IF($B4&gt;3;1;0);1);0)</t>
  </si>
  <si>
    <t>IF($A4=1;1;IF($A4=7;1;IF(D$2="M";IF($A4=2;IF($B4&gt;3;1;0);1);IF(D$2="W";IF($A4=2;0;1);0))))</t>
  </si>
  <si>
    <t>Status</t>
  </si>
  <si>
    <t>Scheduled Tasks</t>
  </si>
  <si>
    <t>W01</t>
  </si>
  <si>
    <t>W02</t>
  </si>
  <si>
    <t>W03</t>
  </si>
  <si>
    <t>W04</t>
  </si>
  <si>
    <t>M01</t>
  </si>
  <si>
    <t>M02</t>
  </si>
  <si>
    <t>M03</t>
  </si>
  <si>
    <t>Search Gatherer Logs</t>
  </si>
  <si>
    <t>Content Database Status</t>
  </si>
  <si>
    <t>Upgrade Status Servers</t>
  </si>
  <si>
    <t>Upgrade Status Databases</t>
  </si>
  <si>
    <t>Backup Status</t>
  </si>
  <si>
    <t>Deployment Status Solutions</t>
  </si>
  <si>
    <t>Failed Timer Jobs</t>
  </si>
  <si>
    <t>Health Analyzer Issues</t>
  </si>
  <si>
    <t>Running websites en application pools</t>
  </si>
  <si>
    <t>Q</t>
  </si>
  <si>
    <t>Q01</t>
  </si>
  <si>
    <t>Q02</t>
  </si>
  <si>
    <t>M04</t>
  </si>
  <si>
    <t>Search Topology</t>
  </si>
  <si>
    <t>PRD</t>
  </si>
  <si>
    <t>DR</t>
  </si>
  <si>
    <t>ACC</t>
  </si>
  <si>
    <t>TEST</t>
  </si>
  <si>
    <t>Using the sheet</t>
  </si>
  <si>
    <t>Valid inputs are 1, 2 or 3.</t>
  </si>
  <si>
    <t>Always use the sheet with the name of the month, never use the template sheet!</t>
  </si>
  <si>
    <t>Add new month sheet</t>
  </si>
  <si>
    <t>1: Copy the template sheet (right click &gt; Move or Copy)</t>
  </si>
  <si>
    <t>2: Select the correct month in the sheet</t>
  </si>
  <si>
    <t>3: Rename the copy ("Template (2)") to the name of the month</t>
  </si>
  <si>
    <t>Year</t>
  </si>
  <si>
    <t>Dates fields</t>
  </si>
  <si>
    <t>January</t>
  </si>
  <si>
    <t>February</t>
  </si>
  <si>
    <t>March</t>
  </si>
  <si>
    <t>May</t>
  </si>
  <si>
    <t>June</t>
  </si>
  <si>
    <t>July</t>
  </si>
  <si>
    <t>August</t>
  </si>
  <si>
    <t>October</t>
  </si>
  <si>
    <t>Error (Solved immediately)</t>
  </si>
  <si>
    <t>Error (Created incident)</t>
  </si>
  <si>
    <t>Total</t>
  </si>
  <si>
    <t>Weekly</t>
  </si>
  <si>
    <t>Monthly</t>
  </si>
  <si>
    <t>Formula for conditional formatting breakdown</t>
  </si>
  <si>
    <t>Name</t>
  </si>
  <si>
    <t>Purpose</t>
  </si>
  <si>
    <t>Formula</t>
  </si>
  <si>
    <t>Makes sure the correct cells are greyed out in the 'Template'</t>
  </si>
  <si>
    <t>Makes sure cells in the weekend are greyed out</t>
  </si>
  <si>
    <t>Makes sure weekly tasks are planned on Mondays</t>
  </si>
  <si>
    <t>Makes sure weekly tasks are planned on the first Monday of the month</t>
  </si>
  <si>
    <t>Administrators</t>
  </si>
  <si>
    <t>Error (Resolved immediately)</t>
  </si>
  <si>
    <t>No check required</t>
  </si>
  <si>
    <t>Performed by:</t>
  </si>
  <si>
    <t>Quick environment check</t>
  </si>
  <si>
    <t>Content Database Size</t>
  </si>
  <si>
    <t>Last Boot Time</t>
  </si>
  <si>
    <t>Running Services Check</t>
  </si>
  <si>
    <t>Group Membership Check</t>
  </si>
  <si>
    <t>Service Application Status</t>
  </si>
  <si>
    <t>Permissions Check</t>
  </si>
  <si>
    <t>Baseline Settings</t>
  </si>
  <si>
    <t>Access Check</t>
  </si>
  <si>
    <t>Missing Security Updates/Service Packs</t>
  </si>
  <si>
    <t>Policy Compliance</t>
  </si>
  <si>
    <t>Documentation Check</t>
  </si>
  <si>
    <t>SSL Certificates Check</t>
  </si>
  <si>
    <t>Lifecycle Check</t>
  </si>
  <si>
    <t>Disaster Recovery Test</t>
  </si>
  <si>
    <t>New Updates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</si>
</sst>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\ dd\ mmmm"/>
    <numFmt numFmtId="165" formatCode="mmmm"/>
    <numFmt numFmtId="168" formatCode="[$-409]dddd\ d\ mmmm\ yyyy"/>
  </numFmts>
  <fonts count="27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4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sz val="9"/>
      <color indexed="8"/>
      <name val="Calibri"/>
      <family val="2"/>
    </font>
    <font>
      <sz val="8"/>
      <name val="Arial"/>
      <family val="2"/>
    </font>
    <font>
      <sz val="28"/>
      <name val="Calibri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24"/>
      <name val="Calibri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</fills>
  <borders count="5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8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1" borderId="2" applyNumberFormat="0" applyAlignment="0" applyProtection="0"/>
    <xf numFmtId="0" fontId="6" fillId="0" borderId="0" applyNumberFormat="0" applyFill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0"/>
    <xf numFmtId="0" fontId="2" fillId="0" borderId="0"/>
    <xf numFmtId="0" fontId="2" fillId="0" borderId="0"/>
    <xf numFmtId="0" fontId="2" fillId="22" borderId="6" applyNumberFormat="0" applyFont="0" applyAlignment="0" applyProtection="0"/>
    <xf numFmtId="0" fontId="12" fillId="20" borderId="7" applyNumberFormat="0" applyAlignment="0" applyProtection="0"/>
  </cellStyleXfs>
  <cellXfs count="133">
    <xf numFmtId="0" fontId="0" fillId="0" borderId="0" xfId="0"/>
    <xf numFmtId="0" fontId="13" fillId="23" borderId="15" xfId="35" applyFont="1" applyFill="1" applyBorder="1" applyProtection="1"/>
    <xf numFmtId="0" fontId="14" fillId="0" borderId="15" xfId="35" applyFont="1" applyBorder="1" applyProtection="1"/>
    <xf numFmtId="0" fontId="15" fillId="0" borderId="16" xfId="35" applyFont="1" applyBorder="1" applyProtection="1"/>
    <xf numFmtId="0" fontId="15" fillId="0" borderId="17" xfId="35" applyFont="1" applyFill="1" applyBorder="1" applyProtection="1"/>
    <xf numFmtId="0" fontId="15" fillId="0" borderId="17" xfId="35" applyFont="1" applyBorder="1" applyProtection="1"/>
    <xf numFmtId="0" fontId="2" fillId="0" borderId="17" xfId="35" applyBorder="1" applyProtection="1"/>
    <xf numFmtId="0" fontId="2" fillId="0" borderId="18" xfId="35" applyBorder="1" applyProtection="1"/>
    <xf numFmtId="0" fontId="0" fillId="0" borderId="0" xfId="0" applyFill="1"/>
    <xf numFmtId="0" fontId="16" fillId="0" borderId="0" xfId="35" applyFont="1" applyFill="1" applyBorder="1" applyAlignment="1">
      <alignment textRotation="90"/>
    </xf>
    <xf numFmtId="164" fontId="0" fillId="0" borderId="19" xfId="0" applyNumberFormat="1" applyBorder="1"/>
    <xf numFmtId="0" fontId="11" fillId="0" borderId="0" xfId="33" applyFill="1" applyBorder="1" applyAlignment="1">
      <alignment vertical="top"/>
    </xf>
    <xf numFmtId="0" fontId="11" fillId="0" borderId="0" xfId="33" applyFill="1" applyBorder="1" applyAlignment="1">
      <alignment horizontal="left"/>
    </xf>
    <xf numFmtId="0" fontId="0" fillId="0" borderId="0" xfId="0" applyBorder="1"/>
    <xf numFmtId="0" fontId="11" fillId="24" borderId="20" xfId="33" applyFont="1" applyFill="1" applyBorder="1" applyAlignment="1"/>
    <xf numFmtId="0" fontId="11" fillId="23" borderId="20" xfId="33" applyFont="1" applyFill="1" applyBorder="1" applyAlignment="1"/>
    <xf numFmtId="0" fontId="0" fillId="0" borderId="0" xfId="0" applyAlignment="1"/>
    <xf numFmtId="0" fontId="11" fillId="0" borderId="0" xfId="0" applyFont="1"/>
    <xf numFmtId="0" fontId="11" fillId="25" borderId="20" xfId="33" applyFont="1" applyFill="1" applyBorder="1" applyAlignment="1"/>
    <xf numFmtId="0" fontId="0" fillId="26" borderId="20" xfId="0" applyFill="1" applyBorder="1"/>
    <xf numFmtId="0" fontId="19" fillId="0" borderId="29" xfId="0" applyFont="1" applyBorder="1"/>
    <xf numFmtId="0" fontId="20" fillId="0" borderId="30" xfId="34" applyFont="1" applyBorder="1"/>
    <xf numFmtId="0" fontId="20" fillId="0" borderId="31" xfId="34" applyFont="1" applyBorder="1"/>
    <xf numFmtId="0" fontId="20" fillId="0" borderId="32" xfId="34" applyFont="1" applyBorder="1"/>
    <xf numFmtId="0" fontId="20" fillId="0" borderId="0" xfId="34" applyFont="1" applyBorder="1"/>
    <xf numFmtId="0" fontId="19" fillId="0" borderId="0" xfId="0" applyFont="1" applyBorder="1"/>
    <xf numFmtId="0" fontId="11" fillId="0" borderId="0" xfId="0" applyFont="1" applyBorder="1"/>
    <xf numFmtId="0" fontId="11" fillId="0" borderId="24" xfId="0" applyFont="1" applyBorder="1"/>
    <xf numFmtId="0" fontId="11" fillId="0" borderId="11" xfId="0" applyFont="1" applyBorder="1"/>
    <xf numFmtId="0" fontId="11" fillId="0" borderId="26" xfId="0" applyFont="1" applyBorder="1"/>
    <xf numFmtId="0" fontId="11" fillId="0" borderId="10" xfId="0" applyFont="1" applyBorder="1"/>
    <xf numFmtId="0" fontId="11" fillId="0" borderId="33" xfId="0" applyFont="1" applyBorder="1"/>
    <xf numFmtId="0" fontId="11" fillId="0" borderId="34" xfId="0" applyFont="1" applyBorder="1"/>
    <xf numFmtId="0" fontId="20" fillId="0" borderId="35" xfId="34" applyFont="1" applyBorder="1"/>
    <xf numFmtId="0" fontId="11" fillId="0" borderId="0" xfId="0" applyFont="1" applyAlignment="1">
      <alignment wrapText="1"/>
    </xf>
    <xf numFmtId="0" fontId="19" fillId="27" borderId="20" xfId="0" applyFont="1" applyFill="1" applyBorder="1"/>
    <xf numFmtId="0" fontId="19" fillId="0" borderId="28" xfId="0" applyFont="1" applyBorder="1" applyAlignment="1">
      <alignment vertical="top" wrapText="1"/>
    </xf>
    <xf numFmtId="0" fontId="19" fillId="27" borderId="36" xfId="0" applyFont="1" applyFill="1" applyBorder="1"/>
    <xf numFmtId="0" fontId="20" fillId="0" borderId="14" xfId="34" applyFont="1" applyBorder="1"/>
    <xf numFmtId="0" fontId="20" fillId="0" borderId="40" xfId="34" applyFont="1" applyBorder="1"/>
    <xf numFmtId="0" fontId="20" fillId="0" borderId="42" xfId="34" applyFont="1" applyBorder="1"/>
    <xf numFmtId="0" fontId="19" fillId="27" borderId="45" xfId="0" applyFont="1" applyFill="1" applyBorder="1"/>
    <xf numFmtId="0" fontId="20" fillId="0" borderId="33" xfId="34" applyFont="1" applyBorder="1"/>
    <xf numFmtId="0" fontId="20" fillId="0" borderId="11" xfId="34" applyFont="1" applyBorder="1"/>
    <xf numFmtId="0" fontId="20" fillId="0" borderId="10" xfId="34" applyFont="1" applyBorder="1"/>
    <xf numFmtId="0" fontId="16" fillId="0" borderId="0" xfId="35" applyFont="1" applyBorder="1" applyAlignment="1">
      <alignment textRotation="90"/>
    </xf>
    <xf numFmtId="0" fontId="0" fillId="0" borderId="0" xfId="0" applyBorder="1" applyAlignment="1">
      <alignment textRotation="90"/>
    </xf>
    <xf numFmtId="0" fontId="1" fillId="0" borderId="21" xfId="0" applyFont="1" applyFill="1" applyBorder="1" applyAlignment="1" applyProtection="1">
      <alignment horizontal="center" vertical="center"/>
      <protection locked="0"/>
    </xf>
    <xf numFmtId="0" fontId="1" fillId="0" borderId="22" xfId="0" applyFont="1" applyFill="1" applyBorder="1" applyAlignment="1" applyProtection="1">
      <alignment horizontal="center" vertical="center"/>
      <protection locked="0"/>
    </xf>
    <xf numFmtId="0" fontId="1" fillId="0" borderId="23" xfId="0" applyFont="1" applyFill="1" applyBorder="1" applyProtection="1">
      <protection locked="0"/>
    </xf>
    <xf numFmtId="0" fontId="0" fillId="0" borderId="21" xfId="0" applyFill="1" applyBorder="1" applyAlignment="1" applyProtection="1">
      <alignment horizontal="center" vertical="center"/>
      <protection locked="0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52" xfId="0" applyFill="1" applyBorder="1" applyAlignment="1" applyProtection="1">
      <alignment horizontal="center" vertical="center"/>
      <protection locked="0"/>
    </xf>
    <xf numFmtId="0" fontId="1" fillId="0" borderId="24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1" xfId="0" applyFont="1" applyFill="1" applyBorder="1" applyProtection="1">
      <protection locked="0"/>
    </xf>
    <xf numFmtId="0" fontId="0" fillId="0" borderId="24" xfId="0" applyFill="1" applyBorder="1" applyAlignment="1" applyProtection="1">
      <alignment horizontal="center" vertical="center"/>
      <protection locked="0"/>
    </xf>
    <xf numFmtId="0" fontId="0" fillId="0" borderId="12" xfId="0" applyFill="1" applyBorder="1" applyAlignment="1" applyProtection="1">
      <alignment horizontal="center" vertical="center"/>
      <protection locked="0"/>
    </xf>
    <xf numFmtId="0" fontId="0" fillId="0" borderId="19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Protection="1">
      <protection locked="0"/>
    </xf>
    <xf numFmtId="0" fontId="0" fillId="0" borderId="25" xfId="0" applyFill="1" applyBorder="1" applyAlignment="1" applyProtection="1">
      <alignment horizontal="center" vertical="center"/>
      <protection locked="0"/>
    </xf>
    <xf numFmtId="165" fontId="18" fillId="0" borderId="50" xfId="0" applyNumberFormat="1" applyFont="1" applyBorder="1" applyAlignment="1" applyProtection="1">
      <alignment horizontal="center" vertical="center"/>
      <protection locked="0"/>
    </xf>
    <xf numFmtId="1" fontId="22" fillId="0" borderId="13" xfId="0" applyNumberFormat="1" applyFont="1" applyBorder="1" applyAlignment="1" applyProtection="1">
      <alignment horizontal="center" vertical="center"/>
    </xf>
    <xf numFmtId="0" fontId="1" fillId="0" borderId="27" xfId="0" applyFont="1" applyBorder="1"/>
    <xf numFmtId="0" fontId="1" fillId="0" borderId="24" xfId="0" applyFont="1" applyBorder="1"/>
    <xf numFmtId="0" fontId="1" fillId="0" borderId="27" xfId="0" applyFont="1" applyBorder="1" applyAlignment="1">
      <alignment vertical="top" wrapText="1"/>
    </xf>
    <xf numFmtId="0" fontId="1" fillId="0" borderId="24" xfId="0" applyFont="1" applyBorder="1" applyAlignment="1">
      <alignment vertical="top" wrapText="1"/>
    </xf>
    <xf numFmtId="0" fontId="1" fillId="0" borderId="26" xfId="0" applyFont="1" applyBorder="1" applyAlignment="1">
      <alignment vertical="top" wrapText="1"/>
    </xf>
    <xf numFmtId="0" fontId="21" fillId="27" borderId="36" xfId="0" applyFont="1" applyFill="1" applyBorder="1" applyAlignment="1">
      <alignment horizontal="left"/>
    </xf>
    <xf numFmtId="0" fontId="21" fillId="27" borderId="37" xfId="0" applyFont="1" applyFill="1" applyBorder="1" applyAlignment="1">
      <alignment horizontal="left"/>
    </xf>
    <xf numFmtId="0" fontId="1" fillId="0" borderId="8" xfId="0" applyFont="1" applyBorder="1" applyAlignment="1">
      <alignment vertical="top" wrapText="1"/>
    </xf>
    <xf numFmtId="0" fontId="11" fillId="0" borderId="8" xfId="0" applyFont="1" applyBorder="1" applyAlignment="1">
      <alignment vertical="top" wrapText="1"/>
    </xf>
    <xf numFmtId="0" fontId="1" fillId="0" borderId="12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" fillId="0" borderId="53" xfId="0" applyFont="1" applyBorder="1" applyAlignment="1">
      <alignment vertical="top" wrapText="1" shrinkToFit="1"/>
    </xf>
    <xf numFmtId="0" fontId="11" fillId="0" borderId="54" xfId="0" applyFont="1" applyBorder="1" applyAlignment="1">
      <alignment vertical="top" wrapText="1" shrinkToFit="1"/>
    </xf>
    <xf numFmtId="0" fontId="11" fillId="0" borderId="48" xfId="0" applyFont="1" applyBorder="1" applyAlignment="1">
      <alignment vertical="top" wrapText="1" shrinkToFit="1"/>
    </xf>
    <xf numFmtId="0" fontId="19" fillId="0" borderId="44" xfId="0" applyFont="1" applyBorder="1" applyAlignment="1">
      <alignment vertical="top" wrapText="1"/>
    </xf>
    <xf numFmtId="0" fontId="19" fillId="27" borderId="28" xfId="0" applyFont="1" applyFill="1" applyBorder="1" applyAlignment="1">
      <alignment horizontal="left"/>
    </xf>
    <xf numFmtId="0" fontId="19" fillId="27" borderId="44" xfId="0" applyFont="1" applyFill="1" applyBorder="1" applyAlignment="1">
      <alignment horizontal="left"/>
    </xf>
    <xf numFmtId="0" fontId="19" fillId="27" borderId="45" xfId="0" applyFont="1" applyFill="1" applyBorder="1" applyAlignment="1">
      <alignment horizontal="left"/>
    </xf>
    <xf numFmtId="0" fontId="19" fillId="0" borderId="38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39" xfId="0" applyFont="1" applyBorder="1" applyAlignment="1">
      <alignment horizontal="center"/>
    </xf>
    <xf numFmtId="0" fontId="11" fillId="0" borderId="11" xfId="0" applyFont="1" applyBorder="1" applyAlignment="1">
      <alignment vertical="top" wrapText="1"/>
    </xf>
    <xf numFmtId="0" fontId="11" fillId="0" borderId="9" xfId="0" applyFont="1" applyBorder="1" applyAlignment="1">
      <alignment vertical="top" wrapText="1"/>
    </xf>
    <xf numFmtId="0" fontId="11" fillId="0" borderId="10" xfId="0" applyFont="1" applyBorder="1" applyAlignment="1">
      <alignment vertical="top" wrapText="1"/>
    </xf>
    <xf numFmtId="0" fontId="11" fillId="0" borderId="33" xfId="0" applyFont="1" applyBorder="1" applyAlignment="1">
      <alignment vertical="top" wrapText="1"/>
    </xf>
    <xf numFmtId="0" fontId="19" fillId="0" borderId="45" xfId="0" applyFont="1" applyBorder="1" applyAlignment="1">
      <alignment vertical="top" wrapText="1"/>
    </xf>
    <xf numFmtId="0" fontId="19" fillId="0" borderId="28" xfId="0" applyFont="1" applyBorder="1" applyAlignment="1">
      <alignment horizontal="center"/>
    </xf>
    <xf numFmtId="0" fontId="19" fillId="0" borderId="44" xfId="0" applyFont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1" fillId="0" borderId="49" xfId="33" applyFill="1" applyBorder="1" applyAlignment="1">
      <alignment horizontal="left"/>
    </xf>
    <xf numFmtId="0" fontId="11" fillId="0" borderId="8" xfId="33" applyFill="1" applyBorder="1" applyAlignment="1">
      <alignment horizontal="left"/>
    </xf>
    <xf numFmtId="0" fontId="11" fillId="0" borderId="33" xfId="33" applyFill="1" applyBorder="1" applyAlignment="1">
      <alignment horizontal="left"/>
    </xf>
    <xf numFmtId="0" fontId="11" fillId="0" borderId="25" xfId="33" applyFont="1" applyFill="1" applyBorder="1" applyAlignment="1">
      <alignment horizontal="left"/>
    </xf>
    <xf numFmtId="0" fontId="11" fillId="0" borderId="12" xfId="33" applyFont="1" applyFill="1" applyBorder="1" applyAlignment="1">
      <alignment horizontal="left"/>
    </xf>
    <xf numFmtId="0" fontId="11" fillId="0" borderId="11" xfId="33" applyFont="1" applyFill="1" applyBorder="1" applyAlignment="1">
      <alignment horizontal="left"/>
    </xf>
    <xf numFmtId="0" fontId="11" fillId="0" borderId="48" xfId="33" applyFont="1" applyFill="1" applyBorder="1" applyAlignment="1">
      <alignment horizontal="left"/>
    </xf>
    <xf numFmtId="0" fontId="11" fillId="0" borderId="9" xfId="33" applyFont="1" applyFill="1" applyBorder="1" applyAlignment="1">
      <alignment horizontal="left"/>
    </xf>
    <xf numFmtId="0" fontId="11" fillId="0" borderId="10" xfId="33" applyFont="1" applyFill="1" applyBorder="1" applyAlignment="1">
      <alignment horizontal="left"/>
    </xf>
    <xf numFmtId="0" fontId="13" fillId="28" borderId="46" xfId="35" applyFont="1" applyFill="1" applyBorder="1" applyAlignment="1" applyProtection="1">
      <alignment horizontal="center"/>
    </xf>
    <xf numFmtId="0" fontId="13" fillId="28" borderId="47" xfId="35" applyFont="1" applyFill="1" applyBorder="1" applyAlignment="1" applyProtection="1">
      <alignment horizontal="center"/>
    </xf>
    <xf numFmtId="0" fontId="13" fillId="28" borderId="15" xfId="35" applyFont="1" applyFill="1" applyBorder="1" applyAlignment="1" applyProtection="1">
      <alignment horizontal="center"/>
    </xf>
    <xf numFmtId="0" fontId="13" fillId="25" borderId="46" xfId="35" applyFont="1" applyFill="1" applyBorder="1" applyAlignment="1" applyProtection="1">
      <alignment horizontal="center"/>
    </xf>
    <xf numFmtId="0" fontId="13" fillId="25" borderId="47" xfId="35" applyFont="1" applyFill="1" applyBorder="1" applyAlignment="1" applyProtection="1">
      <alignment horizontal="center"/>
    </xf>
    <xf numFmtId="0" fontId="13" fillId="25" borderId="15" xfId="35" applyFont="1" applyFill="1" applyBorder="1" applyAlignment="1" applyProtection="1">
      <alignment horizontal="center"/>
    </xf>
    <xf numFmtId="0" fontId="13" fillId="29" borderId="46" xfId="35" applyFont="1" applyFill="1" applyBorder="1" applyAlignment="1" applyProtection="1">
      <alignment horizontal="center"/>
    </xf>
    <xf numFmtId="0" fontId="13" fillId="29" borderId="47" xfId="35" applyFont="1" applyFill="1" applyBorder="1" applyAlignment="1" applyProtection="1">
      <alignment horizontal="center"/>
    </xf>
    <xf numFmtId="0" fontId="13" fillId="29" borderId="15" xfId="35" applyFont="1" applyFill="1" applyBorder="1" applyAlignment="1" applyProtection="1">
      <alignment horizontal="center"/>
    </xf>
    <xf numFmtId="0" fontId="13" fillId="23" borderId="46" xfId="35" applyFont="1" applyFill="1" applyBorder="1" applyAlignment="1" applyProtection="1">
      <alignment horizontal="center"/>
    </xf>
    <xf numFmtId="0" fontId="13" fillId="23" borderId="47" xfId="35" applyFont="1" applyFill="1" applyBorder="1" applyAlignment="1" applyProtection="1">
      <alignment horizontal="center"/>
    </xf>
    <xf numFmtId="0" fontId="13" fillId="23" borderId="15" xfId="35" applyFont="1" applyFill="1" applyBorder="1" applyAlignment="1" applyProtection="1">
      <alignment horizontal="center"/>
    </xf>
    <xf numFmtId="0" fontId="16" fillId="0" borderId="50" xfId="35" applyFont="1" applyFill="1" applyBorder="1" applyAlignment="1">
      <alignment horizontal="center"/>
    </xf>
    <xf numFmtId="0" fontId="16" fillId="0" borderId="51" xfId="35" applyFont="1" applyFill="1" applyBorder="1" applyAlignment="1">
      <alignment horizontal="center"/>
    </xf>
    <xf numFmtId="0" fontId="24" fillId="0" borderId="0" xfId="0" applyFont="1" applyAlignment="1"/>
    <xf numFmtId="0" fontId="25" fillId="27" borderId="36" xfId="0" applyFont="1" applyFill="1" applyBorder="1" applyAlignment="1">
      <alignment horizontal="left"/>
    </xf>
    <xf numFmtId="0" fontId="25" fillId="27" borderId="37" xfId="0" applyFont="1" applyFill="1" applyBorder="1" applyAlignment="1">
      <alignment horizontal="left"/>
    </xf>
    <xf numFmtId="0" fontId="24" fillId="0" borderId="27" xfId="0" applyFont="1" applyBorder="1" applyAlignment="1">
      <alignment horizontal="left"/>
    </xf>
    <xf numFmtId="0" fontId="24" fillId="0" borderId="33" xfId="0" applyFont="1" applyBorder="1" applyAlignment="1">
      <alignment horizontal="left"/>
    </xf>
    <xf numFmtId="0" fontId="26" fillId="0" borderId="26" xfId="0" applyFont="1" applyBorder="1" applyAlignment="1">
      <alignment horizontal="left"/>
    </xf>
    <xf numFmtId="0" fontId="26" fillId="0" borderId="10" xfId="0" applyFont="1" applyBorder="1" applyAlignment="1">
      <alignment horizontal="left"/>
    </xf>
    <xf numFmtId="0" fontId="24" fillId="0" borderId="0" xfId="0" applyFont="1" applyAlignment="1">
      <alignment horizontal="left"/>
    </xf>
    <xf numFmtId="0" fontId="24" fillId="27" borderId="37" xfId="0" applyFont="1" applyFill="1" applyBorder="1" applyAlignment="1">
      <alignment horizontal="left"/>
    </xf>
    <xf numFmtId="0" fontId="24" fillId="0" borderId="14" xfId="0" applyFont="1" applyBorder="1" applyAlignment="1">
      <alignment horizontal="left"/>
    </xf>
    <xf numFmtId="0" fontId="24" fillId="0" borderId="13" xfId="0" applyFont="1" applyBorder="1" applyAlignment="1">
      <alignment horizontal="left"/>
    </xf>
    <xf numFmtId="0" fontId="24" fillId="0" borderId="40" xfId="0" applyFont="1" applyBorder="1" applyAlignment="1">
      <alignment horizontal="left"/>
    </xf>
    <xf numFmtId="0" fontId="24" fillId="0" borderId="41" xfId="0" applyFont="1" applyBorder="1" applyAlignment="1">
      <alignment horizontal="left"/>
    </xf>
    <xf numFmtId="0" fontId="24" fillId="0" borderId="42" xfId="0" applyFont="1" applyBorder="1" applyAlignment="1">
      <alignment horizontal="left"/>
    </xf>
    <xf numFmtId="0" fontId="24" fillId="0" borderId="43" xfId="0" applyFont="1" applyBorder="1" applyAlignment="1">
      <alignment horizontal="left"/>
    </xf>
    <xf numFmtId="168" fontId="0" fillId="0" borderId="19" xfId="0" applyNumberFormat="1" applyBorder="1"/>
    <xf numFmtId="0" fontId="1" fillId="0" borderId="25" xfId="33" applyFont="1" applyFill="1" applyBorder="1" applyAlignment="1">
      <alignment horizontal="left"/>
    </xf>
    <xf numFmtId="0" fontId="1" fillId="0" borderId="48" xfId="33" applyFont="1" applyFill="1" applyBorder="1" applyAlignment="1">
      <alignment horizontal="left"/>
    </xf>
  </cellXfs>
  <cellStyles count="3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xr:uid="{00000000-0005-0000-0000-000018000000}"/>
    <cellStyle name="Check Cell" xfId="26" xr:uid="{00000000-0005-0000-0000-000019000000}"/>
    <cellStyle name="Explanatory Text" xfId="27" xr:uid="{00000000-0005-0000-0000-00001A000000}"/>
    <cellStyle name="Heading 1" xfId="28" xr:uid="{00000000-0005-0000-0000-00001B000000}"/>
    <cellStyle name="Heading 2" xfId="29" xr:uid="{00000000-0005-0000-0000-00001C000000}"/>
    <cellStyle name="Heading 3" xfId="30" xr:uid="{00000000-0005-0000-0000-00001D000000}"/>
    <cellStyle name="Heading 4" xfId="31" xr:uid="{00000000-0005-0000-0000-00001E000000}"/>
    <cellStyle name="Input" xfId="32" xr:uid="{00000000-0005-0000-0000-00001F000000}"/>
    <cellStyle name="Normal" xfId="0" builtinId="0"/>
    <cellStyle name="Normal 2" xfId="33" xr:uid="{00000000-0005-0000-0000-000021000000}"/>
    <cellStyle name="Normal_Sheet1 (2)" xfId="34" xr:uid="{00000000-0005-0000-0000-000022000000}"/>
    <cellStyle name="Normal_Sheet2" xfId="35" xr:uid="{00000000-0005-0000-0000-000023000000}"/>
    <cellStyle name="Note" xfId="36" xr:uid="{00000000-0005-0000-0000-000024000000}"/>
    <cellStyle name="Output" xfId="37" xr:uid="{00000000-0005-0000-0000-000025000000}"/>
  </cellStyles>
  <dxfs count="52"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indexed="55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0</xdr:rowOff>
        </xdr:from>
        <xdr:to>
          <xdr:col>13</xdr:col>
          <xdr:colOff>4763</xdr:colOff>
          <xdr:row>5</xdr:row>
          <xdr:rowOff>14288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13</xdr:col>
          <xdr:colOff>4763</xdr:colOff>
          <xdr:row>8</xdr:row>
          <xdr:rowOff>14288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Unlock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11"/>
  <sheetViews>
    <sheetView workbookViewId="0"/>
  </sheetViews>
  <sheetFormatPr defaultColWidth="9.19921875" defaultRowHeight="12.75" x14ac:dyDescent="0.35"/>
  <cols>
    <col min="1" max="1" width="26.265625" style="115" bestFit="1" customWidth="1"/>
    <col min="2" max="2" width="43.19921875" style="115" customWidth="1"/>
    <col min="3" max="16384" width="9.19921875" style="115"/>
  </cols>
  <sheetData>
    <row r="2" spans="1:2" ht="13.15" thickBot="1" x14ac:dyDescent="0.4"/>
    <row r="3" spans="1:2" ht="13.5" thickBot="1" x14ac:dyDescent="0.45">
      <c r="A3" s="116" t="s">
        <v>48</v>
      </c>
      <c r="B3" s="117"/>
    </row>
    <row r="4" spans="1:2" x14ac:dyDescent="0.35">
      <c r="A4" s="118" t="s">
        <v>49</v>
      </c>
      <c r="B4" s="119"/>
    </row>
    <row r="5" spans="1:2" ht="13.15" thickBot="1" x14ac:dyDescent="0.4">
      <c r="A5" s="120" t="s">
        <v>50</v>
      </c>
      <c r="B5" s="121"/>
    </row>
    <row r="6" spans="1:2" ht="13.15" thickBot="1" x14ac:dyDescent="0.4">
      <c r="A6" s="122"/>
      <c r="B6" s="122"/>
    </row>
    <row r="7" spans="1:2" ht="13.5" thickBot="1" x14ac:dyDescent="0.45">
      <c r="A7" s="116" t="s">
        <v>51</v>
      </c>
      <c r="B7" s="123"/>
    </row>
    <row r="8" spans="1:2" x14ac:dyDescent="0.35">
      <c r="A8" s="124" t="s">
        <v>52</v>
      </c>
      <c r="B8" s="125"/>
    </row>
    <row r="9" spans="1:2" x14ac:dyDescent="0.35">
      <c r="A9" s="126" t="s">
        <v>53</v>
      </c>
      <c r="B9" s="127"/>
    </row>
    <row r="10" spans="1:2" ht="13.15" thickBot="1" x14ac:dyDescent="0.4">
      <c r="A10" s="128" t="s">
        <v>54</v>
      </c>
      <c r="B10" s="129"/>
    </row>
    <row r="11" spans="1:2" x14ac:dyDescent="0.35">
      <c r="A11" s="122"/>
      <c r="B11" s="122"/>
    </row>
  </sheetData>
  <mergeCells count="7">
    <mergeCell ref="A3:B3"/>
    <mergeCell ref="A9:B9"/>
    <mergeCell ref="A10:B10"/>
    <mergeCell ref="A4:B4"/>
    <mergeCell ref="A5:B5"/>
    <mergeCell ref="A7:B7"/>
    <mergeCell ref="A8:B8"/>
  </mergeCells>
  <phoneticPr fontId="17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25"/>
  <sheetViews>
    <sheetView workbookViewId="0">
      <selection activeCell="A7" sqref="A7"/>
    </sheetView>
  </sheetViews>
  <sheetFormatPr defaultColWidth="9.19921875" defaultRowHeight="12.75" x14ac:dyDescent="0.35"/>
  <cols>
    <col min="1" max="1" width="16.46484375" style="17" customWidth="1"/>
    <col min="2" max="2" width="3" style="17" bestFit="1" customWidth="1"/>
    <col min="3" max="3" width="9.19921875" style="17"/>
    <col min="4" max="4" width="3" style="17" bestFit="1" customWidth="1"/>
    <col min="5" max="5" width="16" style="17" customWidth="1"/>
    <col min="6" max="6" width="8.73046875" style="17" customWidth="1"/>
    <col min="7" max="7" width="9.19921875" style="17"/>
    <col min="8" max="8" width="7.19921875" style="17" customWidth="1"/>
    <col min="9" max="9" width="33" style="17" bestFit="1" customWidth="1"/>
    <col min="10" max="16384" width="9.19921875" style="17"/>
  </cols>
  <sheetData>
    <row r="1" spans="1:9" ht="13.5" thickBot="1" x14ac:dyDescent="0.45">
      <c r="A1" s="35" t="s">
        <v>78</v>
      </c>
      <c r="B1" s="20"/>
      <c r="C1" s="35" t="s">
        <v>55</v>
      </c>
      <c r="D1" s="25"/>
      <c r="E1" s="68" t="s">
        <v>56</v>
      </c>
      <c r="F1" s="69"/>
      <c r="H1" s="37" t="s">
        <v>21</v>
      </c>
      <c r="I1" s="41"/>
    </row>
    <row r="2" spans="1:9" ht="13.15" thickBot="1" x14ac:dyDescent="0.4">
      <c r="A2" s="33"/>
      <c r="B2" s="23"/>
      <c r="C2" s="32">
        <v>2017</v>
      </c>
      <c r="D2" s="26"/>
      <c r="E2" s="63" t="s">
        <v>57</v>
      </c>
      <c r="F2" s="31">
        <v>1</v>
      </c>
      <c r="H2" s="38">
        <v>1</v>
      </c>
      <c r="I2" s="42" t="s">
        <v>4</v>
      </c>
    </row>
    <row r="3" spans="1:9" x14ac:dyDescent="0.35">
      <c r="A3" s="21"/>
      <c r="B3" s="24"/>
      <c r="E3" s="64" t="s">
        <v>58</v>
      </c>
      <c r="F3" s="28">
        <v>2</v>
      </c>
      <c r="H3" s="39">
        <v>2</v>
      </c>
      <c r="I3" s="43" t="s">
        <v>65</v>
      </c>
    </row>
    <row r="4" spans="1:9" x14ac:dyDescent="0.35">
      <c r="A4" s="21"/>
      <c r="B4" s="24"/>
      <c r="E4" s="64" t="s">
        <v>59</v>
      </c>
      <c r="F4" s="28">
        <v>3</v>
      </c>
      <c r="H4" s="39">
        <v>3</v>
      </c>
      <c r="I4" s="43" t="s">
        <v>66</v>
      </c>
    </row>
    <row r="5" spans="1:9" x14ac:dyDescent="0.35">
      <c r="A5" s="21"/>
      <c r="B5" s="24"/>
      <c r="E5" s="27" t="s">
        <v>9</v>
      </c>
      <c r="F5" s="28">
        <v>4</v>
      </c>
      <c r="H5" s="39"/>
      <c r="I5" s="43"/>
    </row>
    <row r="6" spans="1:9" ht="13.15" thickBot="1" x14ac:dyDescent="0.4">
      <c r="A6" s="21"/>
      <c r="B6" s="24"/>
      <c r="E6" s="64" t="s">
        <v>60</v>
      </c>
      <c r="F6" s="28">
        <v>5</v>
      </c>
      <c r="H6" s="40"/>
      <c r="I6" s="44"/>
    </row>
    <row r="7" spans="1:9" x14ac:dyDescent="0.35">
      <c r="A7" s="21"/>
      <c r="B7" s="24"/>
      <c r="E7" s="64" t="s">
        <v>61</v>
      </c>
      <c r="F7" s="28">
        <v>6</v>
      </c>
    </row>
    <row r="8" spans="1:9" x14ac:dyDescent="0.35">
      <c r="A8" s="21"/>
      <c r="B8" s="24"/>
      <c r="E8" s="64" t="s">
        <v>62</v>
      </c>
      <c r="F8" s="28">
        <v>7</v>
      </c>
    </row>
    <row r="9" spans="1:9" ht="13.15" thickBot="1" x14ac:dyDescent="0.4">
      <c r="A9" s="22"/>
      <c r="B9" s="24"/>
      <c r="E9" s="64" t="s">
        <v>63</v>
      </c>
      <c r="F9" s="28">
        <v>8</v>
      </c>
    </row>
    <row r="10" spans="1:9" x14ac:dyDescent="0.35">
      <c r="E10" s="64" t="s">
        <v>10</v>
      </c>
      <c r="F10" s="28">
        <v>9</v>
      </c>
    </row>
    <row r="11" spans="1:9" x14ac:dyDescent="0.35">
      <c r="E11" s="64" t="s">
        <v>64</v>
      </c>
      <c r="F11" s="28">
        <v>10</v>
      </c>
    </row>
    <row r="12" spans="1:9" x14ac:dyDescent="0.35">
      <c r="E12" s="27" t="s">
        <v>11</v>
      </c>
      <c r="F12" s="28">
        <v>11</v>
      </c>
    </row>
    <row r="13" spans="1:9" ht="13.15" thickBot="1" x14ac:dyDescent="0.4">
      <c r="E13" s="29" t="s">
        <v>12</v>
      </c>
      <c r="F13" s="30">
        <v>12</v>
      </c>
    </row>
    <row r="18" spans="1:13" ht="13.15" thickBot="1" x14ac:dyDescent="0.4"/>
    <row r="19" spans="1:13" ht="13.5" thickBot="1" x14ac:dyDescent="0.45">
      <c r="A19" s="78" t="s">
        <v>70</v>
      </c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80"/>
    </row>
    <row r="20" spans="1:13" ht="13.5" thickBot="1" x14ac:dyDescent="0.45">
      <c r="A20" s="81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3"/>
    </row>
    <row r="21" spans="1:13" ht="13.5" thickBot="1" x14ac:dyDescent="0.4">
      <c r="A21" s="36" t="s">
        <v>71</v>
      </c>
      <c r="B21" s="77" t="s">
        <v>72</v>
      </c>
      <c r="C21" s="77"/>
      <c r="D21" s="77"/>
      <c r="E21" s="77"/>
      <c r="F21" s="77"/>
      <c r="G21" s="77"/>
      <c r="H21" s="77" t="s">
        <v>73</v>
      </c>
      <c r="I21" s="77"/>
      <c r="J21" s="77"/>
      <c r="K21" s="77"/>
      <c r="L21" s="88"/>
      <c r="M21" s="34"/>
    </row>
    <row r="22" spans="1:13" ht="25.5" customHeight="1" x14ac:dyDescent="0.35">
      <c r="A22" s="65" t="s">
        <v>67</v>
      </c>
      <c r="B22" s="70" t="s">
        <v>74</v>
      </c>
      <c r="C22" s="71"/>
      <c r="D22" s="71"/>
      <c r="E22" s="71"/>
      <c r="F22" s="71"/>
      <c r="G22" s="71"/>
      <c r="H22" s="71" t="s">
        <v>20</v>
      </c>
      <c r="I22" s="71"/>
      <c r="J22" s="71"/>
      <c r="K22" s="71"/>
      <c r="L22" s="87"/>
      <c r="M22" s="34"/>
    </row>
    <row r="23" spans="1:13" ht="25.5" customHeight="1" x14ac:dyDescent="0.35">
      <c r="A23" s="66" t="s">
        <v>16</v>
      </c>
      <c r="B23" s="72" t="s">
        <v>75</v>
      </c>
      <c r="C23" s="73"/>
      <c r="D23" s="73"/>
      <c r="E23" s="73"/>
      <c r="F23" s="73"/>
      <c r="G23" s="73"/>
      <c r="H23" s="73" t="s">
        <v>17</v>
      </c>
      <c r="I23" s="73"/>
      <c r="J23" s="73"/>
      <c r="K23" s="73"/>
      <c r="L23" s="84"/>
      <c r="M23" s="34"/>
    </row>
    <row r="24" spans="1:13" ht="25.5" customHeight="1" x14ac:dyDescent="0.35">
      <c r="A24" s="66" t="s">
        <v>68</v>
      </c>
      <c r="B24" s="72" t="s">
        <v>76</v>
      </c>
      <c r="C24" s="73"/>
      <c r="D24" s="73"/>
      <c r="E24" s="73"/>
      <c r="F24" s="73"/>
      <c r="G24" s="73"/>
      <c r="H24" s="73" t="s">
        <v>19</v>
      </c>
      <c r="I24" s="73"/>
      <c r="J24" s="73"/>
      <c r="K24" s="73"/>
      <c r="L24" s="84"/>
      <c r="M24" s="34"/>
    </row>
    <row r="25" spans="1:13" ht="26.25" customHeight="1" thickBot="1" x14ac:dyDescent="0.4">
      <c r="A25" s="67" t="s">
        <v>69</v>
      </c>
      <c r="B25" s="74" t="s">
        <v>77</v>
      </c>
      <c r="C25" s="75"/>
      <c r="D25" s="75"/>
      <c r="E25" s="75"/>
      <c r="F25" s="75"/>
      <c r="G25" s="76"/>
      <c r="H25" s="85" t="s">
        <v>18</v>
      </c>
      <c r="I25" s="85"/>
      <c r="J25" s="85"/>
      <c r="K25" s="85"/>
      <c r="L25" s="86"/>
      <c r="M25" s="34"/>
    </row>
  </sheetData>
  <mergeCells count="13">
    <mergeCell ref="E1:F1"/>
    <mergeCell ref="B22:G22"/>
    <mergeCell ref="B23:G23"/>
    <mergeCell ref="B25:G25"/>
    <mergeCell ref="B24:G24"/>
    <mergeCell ref="B21:G21"/>
    <mergeCell ref="A19:L19"/>
    <mergeCell ref="A20:L20"/>
    <mergeCell ref="H23:L23"/>
    <mergeCell ref="H25:L25"/>
    <mergeCell ref="H24:L24"/>
    <mergeCell ref="H22:L22"/>
    <mergeCell ref="H21:L2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ckAllSheets">
                <anchor moveWithCells="1" siz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13</xdr:col>
                    <xdr:colOff>4763</xdr:colOff>
                    <xdr:row>5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UnlockAllSheets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13</xdr:col>
                    <xdr:colOff>4763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Y56"/>
  <sheetViews>
    <sheetView tabSelected="1"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1</v>
      </c>
      <c r="C3" s="61" t="s">
        <v>57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1</v>
      </c>
      <c r="B5">
        <v>1</v>
      </c>
      <c r="C5" s="130">
        <f>DATE(Jaartal,January!$B$3,January!$B5)</f>
        <v>42736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2</v>
      </c>
      <c r="B6">
        <v>2</v>
      </c>
      <c r="C6" s="130">
        <f>DATE(Jaartal,January!$B$3,January!$B6)</f>
        <v>42737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3</v>
      </c>
      <c r="B7">
        <v>3</v>
      </c>
      <c r="C7" s="130">
        <f>DATE(Jaartal,January!$B$3,January!$B7)</f>
        <v>42738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4</v>
      </c>
      <c r="B8">
        <v>4</v>
      </c>
      <c r="C8" s="130">
        <f>DATE(Jaartal,January!$B$3,January!$B8)</f>
        <v>42739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5</v>
      </c>
      <c r="B9">
        <v>5</v>
      </c>
      <c r="C9" s="130">
        <f>DATE(Jaartal,January!$B$3,January!$B9)</f>
        <v>42740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6</v>
      </c>
      <c r="B10">
        <v>6</v>
      </c>
      <c r="C10" s="130">
        <f>DATE(Jaartal,January!$B$3,January!$B10)</f>
        <v>42741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7</v>
      </c>
      <c r="B11">
        <v>7</v>
      </c>
      <c r="C11" s="130">
        <f>DATE(Jaartal,January!$B$3,January!$B11)</f>
        <v>42742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1</v>
      </c>
      <c r="B12">
        <v>8</v>
      </c>
      <c r="C12" s="130">
        <f>DATE(Jaartal,January!$B$3,January!$B12)</f>
        <v>42743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2</v>
      </c>
      <c r="B13">
        <v>9</v>
      </c>
      <c r="C13" s="130">
        <f>DATE(Jaartal,January!$B$3,January!$B13)</f>
        <v>42744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3</v>
      </c>
      <c r="B14">
        <v>10</v>
      </c>
      <c r="C14" s="130">
        <f>DATE(Jaartal,January!$B$3,January!$B14)</f>
        <v>42745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4</v>
      </c>
      <c r="B15">
        <v>11</v>
      </c>
      <c r="C15" s="130">
        <f>DATE(Jaartal,January!$B$3,January!$B15)</f>
        <v>42746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5</v>
      </c>
      <c r="B16">
        <v>12</v>
      </c>
      <c r="C16" s="130">
        <f>DATE(Jaartal,January!$B$3,January!$B16)</f>
        <v>42747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6</v>
      </c>
      <c r="B17">
        <v>13</v>
      </c>
      <c r="C17" s="130">
        <f>DATE(Jaartal,January!$B$3,January!$B17)</f>
        <v>42748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7</v>
      </c>
      <c r="B18">
        <v>14</v>
      </c>
      <c r="C18" s="130">
        <f>DATE(Jaartal,January!$B$3,January!$B18)</f>
        <v>42749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1</v>
      </c>
      <c r="B19">
        <v>15</v>
      </c>
      <c r="C19" s="130">
        <f>DATE(Jaartal,January!$B$3,January!$B19)</f>
        <v>42750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2</v>
      </c>
      <c r="B20">
        <v>16</v>
      </c>
      <c r="C20" s="130">
        <f>DATE(Jaartal,January!$B$3,January!$B20)</f>
        <v>42751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3</v>
      </c>
      <c r="B21">
        <v>17</v>
      </c>
      <c r="C21" s="130">
        <f>DATE(Jaartal,January!$B$3,January!$B21)</f>
        <v>42752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4</v>
      </c>
      <c r="B22">
        <v>18</v>
      </c>
      <c r="C22" s="130">
        <f>DATE(Jaartal,January!$B$3,January!$B22)</f>
        <v>42753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5</v>
      </c>
      <c r="B23">
        <v>19</v>
      </c>
      <c r="C23" s="130">
        <f>DATE(Jaartal,January!$B$3,January!$B23)</f>
        <v>42754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6</v>
      </c>
      <c r="B24">
        <v>20</v>
      </c>
      <c r="C24" s="130">
        <f>DATE(Jaartal,January!$B$3,January!$B24)</f>
        <v>42755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7</v>
      </c>
      <c r="B25">
        <v>21</v>
      </c>
      <c r="C25" s="130">
        <f>DATE(Jaartal,January!$B$3,January!$B25)</f>
        <v>42756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1</v>
      </c>
      <c r="B26">
        <v>22</v>
      </c>
      <c r="C26" s="130">
        <f>DATE(Jaartal,January!$B$3,January!$B26)</f>
        <v>42757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2</v>
      </c>
      <c r="B27">
        <v>23</v>
      </c>
      <c r="C27" s="130">
        <f>DATE(Jaartal,January!$B$3,January!$B27)</f>
        <v>42758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3</v>
      </c>
      <c r="B28">
        <v>24</v>
      </c>
      <c r="C28" s="130">
        <f>DATE(Jaartal,January!$B$3,January!$B28)</f>
        <v>42759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4</v>
      </c>
      <c r="B29">
        <v>25</v>
      </c>
      <c r="C29" s="130">
        <f>DATE(Jaartal,January!$B$3,January!$B29)</f>
        <v>42760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5</v>
      </c>
      <c r="B30">
        <v>26</v>
      </c>
      <c r="C30" s="130">
        <f>DATE(Jaartal,January!$B$3,January!$B30)</f>
        <v>42761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6</v>
      </c>
      <c r="B31">
        <v>27</v>
      </c>
      <c r="C31" s="130">
        <f>DATE(Jaartal,January!$B$3,January!$B31)</f>
        <v>42762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7</v>
      </c>
      <c r="B32">
        <v>28</v>
      </c>
      <c r="C32" s="130">
        <f>DATE(Jaartal,January!$B$3,January!$B32)</f>
        <v>42763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1</v>
      </c>
      <c r="B33">
        <v>29</v>
      </c>
      <c r="C33" s="130">
        <f>DATE(Jaartal,January!$B$3,January!$B33)</f>
        <v>42764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2</v>
      </c>
      <c r="B34">
        <v>30</v>
      </c>
      <c r="C34" s="130">
        <f>DATE(Jaartal,January!$B$3,January!$B34)</f>
        <v>42765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3</v>
      </c>
      <c r="B35">
        <v>31</v>
      </c>
      <c r="C35" s="130">
        <f>DATE(Jaartal,January!$B$3,January!$B35)</f>
        <v>42766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1:AE1"/>
    <mergeCell ref="AF1:BG1"/>
    <mergeCell ref="BH1:CI1"/>
    <mergeCell ref="CJ1:DK1"/>
    <mergeCell ref="AE3:AE4"/>
    <mergeCell ref="BG3:BG4"/>
    <mergeCell ref="CI3:CI4"/>
    <mergeCell ref="DK3:DK4"/>
    <mergeCell ref="D39:AF39"/>
    <mergeCell ref="E40:AF40"/>
    <mergeCell ref="E41:AF41"/>
    <mergeCell ref="E42:AF42"/>
    <mergeCell ref="E43:AF43"/>
  </mergeCells>
  <conditionalFormatting sqref="D5:DK35">
    <cfRule type="expression" dxfId="51" priority="1" stopIfTrue="1">
      <formula>D5=3</formula>
    </cfRule>
    <cfRule type="expression" dxfId="50" priority="2" stopIfTrue="1">
      <formula>D5=2</formula>
    </cfRule>
    <cfRule type="expression" dxfId="49" priority="3" stopIfTrue="1">
      <formula>D5=1</formula>
    </cfRule>
    <cfRule type="expression" dxfId="48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AF5:BF35 BH5:CH35 CJ5:DJ35 D5:AD35" xr:uid="{00000000-0002-0000-0200-000000000000}">
      <formula1>Status</formula1>
    </dataValidation>
    <dataValidation type="list" allowBlank="1" showInputMessage="1" showErrorMessage="1" sqref="C3" xr:uid="{00000000-0002-0000-0200-000001000000}">
      <formula1>List_Maanden</formula1>
    </dataValidation>
    <dataValidation type="list" allowBlank="1" showInputMessage="1" showErrorMessage="1" sqref="DK5:DK35 CI5:CI35 BG5:BG35 AE5:AE35" xr:uid="{00000000-0002-0000-0200-000002000000}">
      <formula1>List_Personen</formula1>
    </dataValidation>
    <dataValidation type="list" allowBlank="1" showInputMessage="1" showErrorMessage="1" sqref="D2:AD2" xr:uid="{00000000-0002-0000-0200-000003000000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824E4-AC50-410A-B66C-B61F91B623F0}">
  <sheetPr codeName="Sheet4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2</v>
      </c>
      <c r="C3" s="61" t="s">
        <v>58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4</v>
      </c>
      <c r="B5">
        <v>1</v>
      </c>
      <c r="C5" s="130">
        <f>DATE(Jaartal,February!$B$3,February!$B5)</f>
        <v>42767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5</v>
      </c>
      <c r="B6">
        <v>2</v>
      </c>
      <c r="C6" s="130">
        <f>DATE(Jaartal,February!$B$3,February!$B6)</f>
        <v>42768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6</v>
      </c>
      <c r="B7">
        <v>3</v>
      </c>
      <c r="C7" s="130">
        <f>DATE(Jaartal,February!$B$3,February!$B7)</f>
        <v>42769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7</v>
      </c>
      <c r="B8">
        <v>4</v>
      </c>
      <c r="C8" s="130">
        <f>DATE(Jaartal,February!$B$3,February!$B8)</f>
        <v>42770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1</v>
      </c>
      <c r="B9">
        <v>5</v>
      </c>
      <c r="C9" s="130">
        <f>DATE(Jaartal,February!$B$3,February!$B9)</f>
        <v>42771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2</v>
      </c>
      <c r="B10">
        <v>6</v>
      </c>
      <c r="C10" s="130">
        <f>DATE(Jaartal,February!$B$3,February!$B10)</f>
        <v>42772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3</v>
      </c>
      <c r="B11">
        <v>7</v>
      </c>
      <c r="C11" s="130">
        <f>DATE(Jaartal,February!$B$3,February!$B11)</f>
        <v>42773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4</v>
      </c>
      <c r="B12">
        <v>8</v>
      </c>
      <c r="C12" s="130">
        <f>DATE(Jaartal,February!$B$3,February!$B12)</f>
        <v>42774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5</v>
      </c>
      <c r="B13">
        <v>9</v>
      </c>
      <c r="C13" s="130">
        <f>DATE(Jaartal,February!$B$3,February!$B13)</f>
        <v>42775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6</v>
      </c>
      <c r="B14">
        <v>10</v>
      </c>
      <c r="C14" s="130">
        <f>DATE(Jaartal,February!$B$3,February!$B14)</f>
        <v>42776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7</v>
      </c>
      <c r="B15">
        <v>11</v>
      </c>
      <c r="C15" s="130">
        <f>DATE(Jaartal,February!$B$3,February!$B15)</f>
        <v>42777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1</v>
      </c>
      <c r="B16">
        <v>12</v>
      </c>
      <c r="C16" s="130">
        <f>DATE(Jaartal,February!$B$3,February!$B16)</f>
        <v>42778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2</v>
      </c>
      <c r="B17">
        <v>13</v>
      </c>
      <c r="C17" s="130">
        <f>DATE(Jaartal,February!$B$3,February!$B17)</f>
        <v>42779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3</v>
      </c>
      <c r="B18">
        <v>14</v>
      </c>
      <c r="C18" s="130">
        <f>DATE(Jaartal,February!$B$3,February!$B18)</f>
        <v>42780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4</v>
      </c>
      <c r="B19">
        <v>15</v>
      </c>
      <c r="C19" s="130">
        <f>DATE(Jaartal,February!$B$3,February!$B19)</f>
        <v>42781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5</v>
      </c>
      <c r="B20">
        <v>16</v>
      </c>
      <c r="C20" s="130">
        <f>DATE(Jaartal,February!$B$3,February!$B20)</f>
        <v>42782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6</v>
      </c>
      <c r="B21">
        <v>17</v>
      </c>
      <c r="C21" s="130">
        <f>DATE(Jaartal,February!$B$3,February!$B21)</f>
        <v>42783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7</v>
      </c>
      <c r="B22">
        <v>18</v>
      </c>
      <c r="C22" s="130">
        <f>DATE(Jaartal,February!$B$3,February!$B22)</f>
        <v>42784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1</v>
      </c>
      <c r="B23">
        <v>19</v>
      </c>
      <c r="C23" s="130">
        <f>DATE(Jaartal,February!$B$3,February!$B23)</f>
        <v>42785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2</v>
      </c>
      <c r="B24">
        <v>20</v>
      </c>
      <c r="C24" s="130">
        <f>DATE(Jaartal,February!$B$3,February!$B24)</f>
        <v>42786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3</v>
      </c>
      <c r="B25">
        <v>21</v>
      </c>
      <c r="C25" s="130">
        <f>DATE(Jaartal,February!$B$3,February!$B25)</f>
        <v>42787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4</v>
      </c>
      <c r="B26">
        <v>22</v>
      </c>
      <c r="C26" s="130">
        <f>DATE(Jaartal,February!$B$3,February!$B26)</f>
        <v>42788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5</v>
      </c>
      <c r="B27">
        <v>23</v>
      </c>
      <c r="C27" s="130">
        <f>DATE(Jaartal,February!$B$3,February!$B27)</f>
        <v>42789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6</v>
      </c>
      <c r="B28">
        <v>24</v>
      </c>
      <c r="C28" s="130">
        <f>DATE(Jaartal,February!$B$3,February!$B28)</f>
        <v>42790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7</v>
      </c>
      <c r="B29">
        <v>25</v>
      </c>
      <c r="C29" s="130">
        <f>DATE(Jaartal,February!$B$3,February!$B29)</f>
        <v>42791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1</v>
      </c>
      <c r="B30">
        <v>26</v>
      </c>
      <c r="C30" s="130">
        <f>DATE(Jaartal,February!$B$3,February!$B30)</f>
        <v>42792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2</v>
      </c>
      <c r="B31">
        <v>27</v>
      </c>
      <c r="C31" s="130">
        <f>DATE(Jaartal,February!$B$3,February!$B31)</f>
        <v>42793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3</v>
      </c>
      <c r="B32">
        <v>28</v>
      </c>
      <c r="C32" s="130">
        <f>DATE(Jaartal,February!$B$3,February!$B32)</f>
        <v>42794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4</v>
      </c>
      <c r="B33">
        <v>29</v>
      </c>
      <c r="C33" s="130">
        <f>DATE(Jaartal,February!$B$3,February!$B33)</f>
        <v>42795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7</v>
      </c>
      <c r="B34">
        <v>30</v>
      </c>
      <c r="C34" s="130"/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7</v>
      </c>
      <c r="B35">
        <v>31</v>
      </c>
      <c r="C35" s="130"/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43" priority="1" stopIfTrue="1">
      <formula>D5=3</formula>
    </cfRule>
    <cfRule type="expression" dxfId="42" priority="2" stopIfTrue="1">
      <formula>D5=2</formula>
    </cfRule>
    <cfRule type="expression" dxfId="41" priority="3" stopIfTrue="1">
      <formula>D5=1</formula>
    </cfRule>
    <cfRule type="expression" dxfId="40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D2:AD2" xr:uid="{83F15FC5-C0A5-427D-A044-1EEFA1C7005B}">
      <formula1>"D,W,M,Q"</formula1>
    </dataValidation>
    <dataValidation type="list" allowBlank="1" showInputMessage="1" showErrorMessage="1" sqref="DK5:DK35 CI5:CI35 BG5:BG35 AE5:AE35" xr:uid="{26E4396B-304C-4076-AFF7-52061AF1FB36}">
      <formula1>List_Personen</formula1>
    </dataValidation>
    <dataValidation type="list" allowBlank="1" showInputMessage="1" showErrorMessage="1" sqref="C3" xr:uid="{22BDC75B-3B07-489A-8C1B-F298BE3B01D2}">
      <formula1>List_Maanden</formula1>
    </dataValidation>
    <dataValidation type="list" allowBlank="1" showInputMessage="1" showErrorMessage="1" sqref="AF5:BF35 BH5:CH35 CJ5:DJ35 D5:AD35" xr:uid="{5EA48D6B-D54E-4B74-AA76-05C84591F587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43C75-76B9-4F19-B74E-A76F8611A931}">
  <sheetPr codeName="Sheet5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3</v>
      </c>
      <c r="C3" s="61" t="s">
        <v>59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4</v>
      </c>
      <c r="B5">
        <v>1</v>
      </c>
      <c r="C5" s="130">
        <f>DATE(Jaartal,March!$B$3,March!$B5)</f>
        <v>42795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5</v>
      </c>
      <c r="B6">
        <v>2</v>
      </c>
      <c r="C6" s="130">
        <f>DATE(Jaartal,March!$B$3,March!$B6)</f>
        <v>42796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6</v>
      </c>
      <c r="B7">
        <v>3</v>
      </c>
      <c r="C7" s="130">
        <f>DATE(Jaartal,March!$B$3,March!$B7)</f>
        <v>42797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7</v>
      </c>
      <c r="B8">
        <v>4</v>
      </c>
      <c r="C8" s="130">
        <f>DATE(Jaartal,March!$B$3,March!$B8)</f>
        <v>42798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1</v>
      </c>
      <c r="B9">
        <v>5</v>
      </c>
      <c r="C9" s="130">
        <f>DATE(Jaartal,March!$B$3,March!$B9)</f>
        <v>42799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2</v>
      </c>
      <c r="B10">
        <v>6</v>
      </c>
      <c r="C10" s="130">
        <f>DATE(Jaartal,March!$B$3,March!$B10)</f>
        <v>42800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3</v>
      </c>
      <c r="B11">
        <v>7</v>
      </c>
      <c r="C11" s="130">
        <f>DATE(Jaartal,March!$B$3,March!$B11)</f>
        <v>42801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4</v>
      </c>
      <c r="B12">
        <v>8</v>
      </c>
      <c r="C12" s="130">
        <f>DATE(Jaartal,March!$B$3,March!$B12)</f>
        <v>42802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5</v>
      </c>
      <c r="B13">
        <v>9</v>
      </c>
      <c r="C13" s="130">
        <f>DATE(Jaartal,March!$B$3,March!$B13)</f>
        <v>42803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6</v>
      </c>
      <c r="B14">
        <v>10</v>
      </c>
      <c r="C14" s="130">
        <f>DATE(Jaartal,March!$B$3,March!$B14)</f>
        <v>42804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7</v>
      </c>
      <c r="B15">
        <v>11</v>
      </c>
      <c r="C15" s="130">
        <f>DATE(Jaartal,March!$B$3,March!$B15)</f>
        <v>42805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1</v>
      </c>
      <c r="B16">
        <v>12</v>
      </c>
      <c r="C16" s="130">
        <f>DATE(Jaartal,March!$B$3,March!$B16)</f>
        <v>42806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2</v>
      </c>
      <c r="B17">
        <v>13</v>
      </c>
      <c r="C17" s="130">
        <f>DATE(Jaartal,March!$B$3,March!$B17)</f>
        <v>42807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3</v>
      </c>
      <c r="B18">
        <v>14</v>
      </c>
      <c r="C18" s="130">
        <f>DATE(Jaartal,March!$B$3,March!$B18)</f>
        <v>42808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4</v>
      </c>
      <c r="B19">
        <v>15</v>
      </c>
      <c r="C19" s="130">
        <f>DATE(Jaartal,March!$B$3,March!$B19)</f>
        <v>42809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5</v>
      </c>
      <c r="B20">
        <v>16</v>
      </c>
      <c r="C20" s="130">
        <f>DATE(Jaartal,March!$B$3,March!$B20)</f>
        <v>42810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6</v>
      </c>
      <c r="B21">
        <v>17</v>
      </c>
      <c r="C21" s="130">
        <f>DATE(Jaartal,March!$B$3,March!$B21)</f>
        <v>42811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7</v>
      </c>
      <c r="B22">
        <v>18</v>
      </c>
      <c r="C22" s="130">
        <f>DATE(Jaartal,March!$B$3,March!$B22)</f>
        <v>42812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1</v>
      </c>
      <c r="B23">
        <v>19</v>
      </c>
      <c r="C23" s="130">
        <f>DATE(Jaartal,March!$B$3,March!$B23)</f>
        <v>42813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2</v>
      </c>
      <c r="B24">
        <v>20</v>
      </c>
      <c r="C24" s="130">
        <f>DATE(Jaartal,March!$B$3,March!$B24)</f>
        <v>42814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3</v>
      </c>
      <c r="B25">
        <v>21</v>
      </c>
      <c r="C25" s="130">
        <f>DATE(Jaartal,March!$B$3,March!$B25)</f>
        <v>42815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4</v>
      </c>
      <c r="B26">
        <v>22</v>
      </c>
      <c r="C26" s="130">
        <f>DATE(Jaartal,March!$B$3,March!$B26)</f>
        <v>42816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5</v>
      </c>
      <c r="B27">
        <v>23</v>
      </c>
      <c r="C27" s="130">
        <f>DATE(Jaartal,March!$B$3,March!$B27)</f>
        <v>42817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6</v>
      </c>
      <c r="B28">
        <v>24</v>
      </c>
      <c r="C28" s="130">
        <f>DATE(Jaartal,March!$B$3,March!$B28)</f>
        <v>42818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7</v>
      </c>
      <c r="B29">
        <v>25</v>
      </c>
      <c r="C29" s="130">
        <f>DATE(Jaartal,March!$B$3,March!$B29)</f>
        <v>42819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1</v>
      </c>
      <c r="B30">
        <v>26</v>
      </c>
      <c r="C30" s="130">
        <f>DATE(Jaartal,March!$B$3,March!$B30)</f>
        <v>42820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2</v>
      </c>
      <c r="B31">
        <v>27</v>
      </c>
      <c r="C31" s="130">
        <f>DATE(Jaartal,March!$B$3,March!$B31)</f>
        <v>42821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3</v>
      </c>
      <c r="B32">
        <v>28</v>
      </c>
      <c r="C32" s="130">
        <f>DATE(Jaartal,March!$B$3,March!$B32)</f>
        <v>42822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4</v>
      </c>
      <c r="B33">
        <v>29</v>
      </c>
      <c r="C33" s="130">
        <f>DATE(Jaartal,March!$B$3,March!$B33)</f>
        <v>42823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5</v>
      </c>
      <c r="B34">
        <v>30</v>
      </c>
      <c r="C34" s="130">
        <f>DATE(Jaartal,March!$B$3,March!$B34)</f>
        <v>42824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6</v>
      </c>
      <c r="B35">
        <v>31</v>
      </c>
      <c r="C35" s="130">
        <f>DATE(Jaartal,March!$B$3,March!$B35)</f>
        <v>42825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39" priority="1" stopIfTrue="1">
      <formula>D5=3</formula>
    </cfRule>
    <cfRule type="expression" dxfId="38" priority="2" stopIfTrue="1">
      <formula>D5=2</formula>
    </cfRule>
    <cfRule type="expression" dxfId="37" priority="3" stopIfTrue="1">
      <formula>D5=1</formula>
    </cfRule>
    <cfRule type="expression" dxfId="36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AF5:BF35 BH5:CH35 CJ5:DJ35 D5:AD35" xr:uid="{B40C96C4-2133-401D-BDB0-D559E41BB2CE}">
      <formula1>Status</formula1>
    </dataValidation>
    <dataValidation type="list" allowBlank="1" showInputMessage="1" showErrorMessage="1" sqref="C3" xr:uid="{1BE5076D-8E9E-4BCE-8E6D-391C35F67A05}">
      <formula1>List_Maanden</formula1>
    </dataValidation>
    <dataValidation type="list" allowBlank="1" showInputMessage="1" showErrorMessage="1" sqref="DK5:DK35 CI5:CI35 BG5:BG35 AE5:AE35" xr:uid="{23235D6D-10D4-43D0-8EC6-CE31162F930C}">
      <formula1>List_Personen</formula1>
    </dataValidation>
    <dataValidation type="list" allowBlank="1" showInputMessage="1" showErrorMessage="1" sqref="D2:AD2" xr:uid="{50C637FA-D426-4492-B94E-D0B724A58DAF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057F5-08E5-41C6-A187-5E85E065DE81}">
  <sheetPr codeName="Sheet6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4</v>
      </c>
      <c r="C3" s="61" t="s">
        <v>9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7</v>
      </c>
      <c r="B5">
        <v>1</v>
      </c>
      <c r="C5" s="130">
        <f>DATE(Jaartal,April!$B$3,April!$B5)</f>
        <v>42826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1</v>
      </c>
      <c r="B6">
        <v>2</v>
      </c>
      <c r="C6" s="130">
        <f>DATE(Jaartal,April!$B$3,April!$B6)</f>
        <v>42827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2</v>
      </c>
      <c r="B7">
        <v>3</v>
      </c>
      <c r="C7" s="130">
        <f>DATE(Jaartal,April!$B$3,April!$B7)</f>
        <v>42828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3</v>
      </c>
      <c r="B8">
        <v>4</v>
      </c>
      <c r="C8" s="130">
        <f>DATE(Jaartal,April!$B$3,April!$B8)</f>
        <v>42829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4</v>
      </c>
      <c r="B9">
        <v>5</v>
      </c>
      <c r="C9" s="130">
        <f>DATE(Jaartal,April!$B$3,April!$B9)</f>
        <v>42830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5</v>
      </c>
      <c r="B10">
        <v>6</v>
      </c>
      <c r="C10" s="130">
        <f>DATE(Jaartal,April!$B$3,April!$B10)</f>
        <v>42831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6</v>
      </c>
      <c r="B11">
        <v>7</v>
      </c>
      <c r="C11" s="130">
        <f>DATE(Jaartal,April!$B$3,April!$B11)</f>
        <v>42832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7</v>
      </c>
      <c r="B12">
        <v>8</v>
      </c>
      <c r="C12" s="130">
        <f>DATE(Jaartal,April!$B$3,April!$B12)</f>
        <v>42833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1</v>
      </c>
      <c r="B13">
        <v>9</v>
      </c>
      <c r="C13" s="130">
        <f>DATE(Jaartal,April!$B$3,April!$B13)</f>
        <v>42834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2</v>
      </c>
      <c r="B14">
        <v>10</v>
      </c>
      <c r="C14" s="130">
        <f>DATE(Jaartal,April!$B$3,April!$B14)</f>
        <v>42835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3</v>
      </c>
      <c r="B15">
        <v>11</v>
      </c>
      <c r="C15" s="130">
        <f>DATE(Jaartal,April!$B$3,April!$B15)</f>
        <v>42836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4</v>
      </c>
      <c r="B16">
        <v>12</v>
      </c>
      <c r="C16" s="130">
        <f>DATE(Jaartal,April!$B$3,April!$B16)</f>
        <v>42837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5</v>
      </c>
      <c r="B17">
        <v>13</v>
      </c>
      <c r="C17" s="130">
        <f>DATE(Jaartal,April!$B$3,April!$B17)</f>
        <v>42838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6</v>
      </c>
      <c r="B18">
        <v>14</v>
      </c>
      <c r="C18" s="130">
        <f>DATE(Jaartal,April!$B$3,April!$B18)</f>
        <v>42839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7</v>
      </c>
      <c r="B19">
        <v>15</v>
      </c>
      <c r="C19" s="130">
        <f>DATE(Jaartal,April!$B$3,April!$B19)</f>
        <v>42840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1</v>
      </c>
      <c r="B20">
        <v>16</v>
      </c>
      <c r="C20" s="130">
        <f>DATE(Jaartal,April!$B$3,April!$B20)</f>
        <v>42841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2</v>
      </c>
      <c r="B21">
        <v>17</v>
      </c>
      <c r="C21" s="130">
        <f>DATE(Jaartal,April!$B$3,April!$B21)</f>
        <v>42842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3</v>
      </c>
      <c r="B22">
        <v>18</v>
      </c>
      <c r="C22" s="130">
        <f>DATE(Jaartal,April!$B$3,April!$B22)</f>
        <v>42843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4</v>
      </c>
      <c r="B23">
        <v>19</v>
      </c>
      <c r="C23" s="130">
        <f>DATE(Jaartal,April!$B$3,April!$B23)</f>
        <v>42844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5</v>
      </c>
      <c r="B24">
        <v>20</v>
      </c>
      <c r="C24" s="130">
        <f>DATE(Jaartal,April!$B$3,April!$B24)</f>
        <v>42845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6</v>
      </c>
      <c r="B25">
        <v>21</v>
      </c>
      <c r="C25" s="130">
        <f>DATE(Jaartal,April!$B$3,April!$B25)</f>
        <v>42846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7</v>
      </c>
      <c r="B26">
        <v>22</v>
      </c>
      <c r="C26" s="130">
        <f>DATE(Jaartal,April!$B$3,April!$B26)</f>
        <v>42847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1</v>
      </c>
      <c r="B27">
        <v>23</v>
      </c>
      <c r="C27" s="130">
        <f>DATE(Jaartal,April!$B$3,April!$B27)</f>
        <v>42848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2</v>
      </c>
      <c r="B28">
        <v>24</v>
      </c>
      <c r="C28" s="130">
        <f>DATE(Jaartal,April!$B$3,April!$B28)</f>
        <v>42849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3</v>
      </c>
      <c r="B29">
        <v>25</v>
      </c>
      <c r="C29" s="130">
        <f>DATE(Jaartal,April!$B$3,April!$B29)</f>
        <v>42850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4</v>
      </c>
      <c r="B30">
        <v>26</v>
      </c>
      <c r="C30" s="130">
        <f>DATE(Jaartal,April!$B$3,April!$B30)</f>
        <v>42851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5</v>
      </c>
      <c r="B31">
        <v>27</v>
      </c>
      <c r="C31" s="130">
        <f>DATE(Jaartal,April!$B$3,April!$B31)</f>
        <v>42852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6</v>
      </c>
      <c r="B32">
        <v>28</v>
      </c>
      <c r="C32" s="130">
        <f>DATE(Jaartal,April!$B$3,April!$B32)</f>
        <v>42853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7</v>
      </c>
      <c r="B33">
        <v>29</v>
      </c>
      <c r="C33" s="130">
        <f>DATE(Jaartal,April!$B$3,April!$B33)</f>
        <v>42854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1</v>
      </c>
      <c r="B34">
        <v>30</v>
      </c>
      <c r="C34" s="130">
        <f>DATE(Jaartal,April!$B$3,April!$B34)</f>
        <v>42855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2</v>
      </c>
      <c r="B35">
        <v>31</v>
      </c>
      <c r="C35" s="130">
        <f>DATE(Jaartal,April!$B$3,April!$B35)</f>
        <v>42856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35" priority="1" stopIfTrue="1">
      <formula>D5=3</formula>
    </cfRule>
    <cfRule type="expression" dxfId="34" priority="2" stopIfTrue="1">
      <formula>D5=2</formula>
    </cfRule>
    <cfRule type="expression" dxfId="33" priority="3" stopIfTrue="1">
      <formula>D5=1</formula>
    </cfRule>
    <cfRule type="expression" dxfId="32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D2:AD2" xr:uid="{03A5E95C-EC76-487A-B044-2057BE8D3280}">
      <formula1>"D,W,M,Q"</formula1>
    </dataValidation>
    <dataValidation type="list" allowBlank="1" showInputMessage="1" showErrorMessage="1" sqref="DK5:DK35 CI5:CI35 BG5:BG35 AE5:AE35" xr:uid="{3A9BFEF0-3F49-4E3A-816D-8ACAE9B2A637}">
      <formula1>List_Personen</formula1>
    </dataValidation>
    <dataValidation type="list" allowBlank="1" showInputMessage="1" showErrorMessage="1" sqref="C3" xr:uid="{D73AB68C-EA61-4C46-B3A0-4289F794F5C2}">
      <formula1>List_Maanden</formula1>
    </dataValidation>
    <dataValidation type="list" allowBlank="1" showInputMessage="1" showErrorMessage="1" sqref="AF5:BF35 BH5:CH35 CJ5:DJ35 D5:AD35" xr:uid="{31267F74-B0AD-480E-B917-26CF90177A67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43BF7-5600-410B-BCF3-EF9921977F1F}">
  <sheetPr codeName="Sheet7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5</v>
      </c>
      <c r="C3" s="61" t="s">
        <v>60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2</v>
      </c>
      <c r="B5">
        <v>1</v>
      </c>
      <c r="C5" s="130">
        <f>DATE(Jaartal,May!$B$3,May!$B5)</f>
        <v>42856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3</v>
      </c>
      <c r="B6">
        <v>2</v>
      </c>
      <c r="C6" s="130">
        <f>DATE(Jaartal,May!$B$3,May!$B6)</f>
        <v>42857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4</v>
      </c>
      <c r="B7">
        <v>3</v>
      </c>
      <c r="C7" s="130">
        <f>DATE(Jaartal,May!$B$3,May!$B7)</f>
        <v>42858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5</v>
      </c>
      <c r="B8">
        <v>4</v>
      </c>
      <c r="C8" s="130">
        <f>DATE(Jaartal,May!$B$3,May!$B8)</f>
        <v>42859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6</v>
      </c>
      <c r="B9">
        <v>5</v>
      </c>
      <c r="C9" s="130">
        <f>DATE(Jaartal,May!$B$3,May!$B9)</f>
        <v>42860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7</v>
      </c>
      <c r="B10">
        <v>6</v>
      </c>
      <c r="C10" s="130">
        <f>DATE(Jaartal,May!$B$3,May!$B10)</f>
        <v>42861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1</v>
      </c>
      <c r="B11">
        <v>7</v>
      </c>
      <c r="C11" s="130">
        <f>DATE(Jaartal,May!$B$3,May!$B11)</f>
        <v>42862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2</v>
      </c>
      <c r="B12">
        <v>8</v>
      </c>
      <c r="C12" s="130">
        <f>DATE(Jaartal,May!$B$3,May!$B12)</f>
        <v>42863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3</v>
      </c>
      <c r="B13">
        <v>9</v>
      </c>
      <c r="C13" s="130">
        <f>DATE(Jaartal,May!$B$3,May!$B13)</f>
        <v>42864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4</v>
      </c>
      <c r="B14">
        <v>10</v>
      </c>
      <c r="C14" s="130">
        <f>DATE(Jaartal,May!$B$3,May!$B14)</f>
        <v>42865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5</v>
      </c>
      <c r="B15">
        <v>11</v>
      </c>
      <c r="C15" s="130">
        <f>DATE(Jaartal,May!$B$3,May!$B15)</f>
        <v>42866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6</v>
      </c>
      <c r="B16">
        <v>12</v>
      </c>
      <c r="C16" s="130">
        <f>DATE(Jaartal,May!$B$3,May!$B16)</f>
        <v>42867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7</v>
      </c>
      <c r="B17">
        <v>13</v>
      </c>
      <c r="C17" s="130">
        <f>DATE(Jaartal,May!$B$3,May!$B17)</f>
        <v>42868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1</v>
      </c>
      <c r="B18">
        <v>14</v>
      </c>
      <c r="C18" s="130">
        <f>DATE(Jaartal,May!$B$3,May!$B18)</f>
        <v>42869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2</v>
      </c>
      <c r="B19">
        <v>15</v>
      </c>
      <c r="C19" s="130">
        <f>DATE(Jaartal,May!$B$3,May!$B19)</f>
        <v>42870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3</v>
      </c>
      <c r="B20">
        <v>16</v>
      </c>
      <c r="C20" s="130">
        <f>DATE(Jaartal,May!$B$3,May!$B20)</f>
        <v>42871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4</v>
      </c>
      <c r="B21">
        <v>17</v>
      </c>
      <c r="C21" s="130">
        <f>DATE(Jaartal,May!$B$3,May!$B21)</f>
        <v>42872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5</v>
      </c>
      <c r="B22">
        <v>18</v>
      </c>
      <c r="C22" s="130">
        <f>DATE(Jaartal,May!$B$3,May!$B22)</f>
        <v>42873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6</v>
      </c>
      <c r="B23">
        <v>19</v>
      </c>
      <c r="C23" s="130">
        <f>DATE(Jaartal,May!$B$3,May!$B23)</f>
        <v>42874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7</v>
      </c>
      <c r="B24">
        <v>20</v>
      </c>
      <c r="C24" s="130">
        <f>DATE(Jaartal,May!$B$3,May!$B24)</f>
        <v>42875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1</v>
      </c>
      <c r="B25">
        <v>21</v>
      </c>
      <c r="C25" s="130">
        <f>DATE(Jaartal,May!$B$3,May!$B25)</f>
        <v>42876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2</v>
      </c>
      <c r="B26">
        <v>22</v>
      </c>
      <c r="C26" s="130">
        <f>DATE(Jaartal,May!$B$3,May!$B26)</f>
        <v>42877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3</v>
      </c>
      <c r="B27">
        <v>23</v>
      </c>
      <c r="C27" s="130">
        <f>DATE(Jaartal,May!$B$3,May!$B27)</f>
        <v>42878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4</v>
      </c>
      <c r="B28">
        <v>24</v>
      </c>
      <c r="C28" s="130">
        <f>DATE(Jaartal,May!$B$3,May!$B28)</f>
        <v>42879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5</v>
      </c>
      <c r="B29">
        <v>25</v>
      </c>
      <c r="C29" s="130">
        <f>DATE(Jaartal,May!$B$3,May!$B29)</f>
        <v>42880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6</v>
      </c>
      <c r="B30">
        <v>26</v>
      </c>
      <c r="C30" s="130">
        <f>DATE(Jaartal,May!$B$3,May!$B30)</f>
        <v>42881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7</v>
      </c>
      <c r="B31">
        <v>27</v>
      </c>
      <c r="C31" s="130">
        <f>DATE(Jaartal,May!$B$3,May!$B31)</f>
        <v>42882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1</v>
      </c>
      <c r="B32">
        <v>28</v>
      </c>
      <c r="C32" s="130">
        <f>DATE(Jaartal,May!$B$3,May!$B32)</f>
        <v>42883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2</v>
      </c>
      <c r="B33">
        <v>29</v>
      </c>
      <c r="C33" s="130">
        <f>DATE(Jaartal,May!$B$3,May!$B33)</f>
        <v>42884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3</v>
      </c>
      <c r="B34">
        <v>30</v>
      </c>
      <c r="C34" s="130">
        <f>DATE(Jaartal,May!$B$3,May!$B34)</f>
        <v>42885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4</v>
      </c>
      <c r="B35">
        <v>31</v>
      </c>
      <c r="C35" s="130">
        <f>DATE(Jaartal,May!$B$3,May!$B35)</f>
        <v>42886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31" priority="1" stopIfTrue="1">
      <formula>D5=3</formula>
    </cfRule>
    <cfRule type="expression" dxfId="30" priority="2" stopIfTrue="1">
      <formula>D5=2</formula>
    </cfRule>
    <cfRule type="expression" dxfId="29" priority="3" stopIfTrue="1">
      <formula>D5=1</formula>
    </cfRule>
    <cfRule type="expression" dxfId="28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AF5:BF35 BH5:CH35 CJ5:DJ35 D5:AD35" xr:uid="{238ABD44-46BE-4C09-9B90-C50B4F0464B1}">
      <formula1>Status</formula1>
    </dataValidation>
    <dataValidation type="list" allowBlank="1" showInputMessage="1" showErrorMessage="1" sqref="C3" xr:uid="{5FBE635A-93B8-40EF-8A25-1A0036EF7C3A}">
      <formula1>List_Maanden</formula1>
    </dataValidation>
    <dataValidation type="list" allowBlank="1" showInputMessage="1" showErrorMessage="1" sqref="DK5:DK35 CI5:CI35 BG5:BG35 AE5:AE35" xr:uid="{B5B4E933-81CC-422A-8D06-31BE7EDD4C54}">
      <formula1>List_Personen</formula1>
    </dataValidation>
    <dataValidation type="list" allowBlank="1" showInputMessage="1" showErrorMessage="1" sqref="D2:AD2" xr:uid="{375C3651-38B0-4991-B9F1-911E7D6C8120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EBEB-1391-4DB2-81FD-629A88E8F925}">
  <sheetPr codeName="Sheet14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6</v>
      </c>
      <c r="C3" s="61" t="s">
        <v>61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5</v>
      </c>
      <c r="B5">
        <v>1</v>
      </c>
      <c r="C5" s="130">
        <f>DATE(Jaartal,June!$B$3,June!$B5)</f>
        <v>42887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6</v>
      </c>
      <c r="B6">
        <v>2</v>
      </c>
      <c r="C6" s="130">
        <f>DATE(Jaartal,June!$B$3,June!$B6)</f>
        <v>42888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7</v>
      </c>
      <c r="B7">
        <v>3</v>
      </c>
      <c r="C7" s="130">
        <f>DATE(Jaartal,June!$B$3,June!$B7)</f>
        <v>42889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1</v>
      </c>
      <c r="B8">
        <v>4</v>
      </c>
      <c r="C8" s="130">
        <f>DATE(Jaartal,June!$B$3,June!$B8)</f>
        <v>42890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2</v>
      </c>
      <c r="B9">
        <v>5</v>
      </c>
      <c r="C9" s="130">
        <f>DATE(Jaartal,June!$B$3,June!$B9)</f>
        <v>42891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3</v>
      </c>
      <c r="B10">
        <v>6</v>
      </c>
      <c r="C10" s="130">
        <f>DATE(Jaartal,June!$B$3,June!$B10)</f>
        <v>42892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4</v>
      </c>
      <c r="B11">
        <v>7</v>
      </c>
      <c r="C11" s="130">
        <f>DATE(Jaartal,June!$B$3,June!$B11)</f>
        <v>42893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5</v>
      </c>
      <c r="B12">
        <v>8</v>
      </c>
      <c r="C12" s="130">
        <f>DATE(Jaartal,June!$B$3,June!$B12)</f>
        <v>42894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6</v>
      </c>
      <c r="B13">
        <v>9</v>
      </c>
      <c r="C13" s="130">
        <f>DATE(Jaartal,June!$B$3,June!$B13)</f>
        <v>42895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7</v>
      </c>
      <c r="B14">
        <v>10</v>
      </c>
      <c r="C14" s="130">
        <f>DATE(Jaartal,June!$B$3,June!$B14)</f>
        <v>42896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1</v>
      </c>
      <c r="B15">
        <v>11</v>
      </c>
      <c r="C15" s="130">
        <f>DATE(Jaartal,June!$B$3,June!$B15)</f>
        <v>42897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2</v>
      </c>
      <c r="B16">
        <v>12</v>
      </c>
      <c r="C16" s="130">
        <f>DATE(Jaartal,June!$B$3,June!$B16)</f>
        <v>42898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3</v>
      </c>
      <c r="B17">
        <v>13</v>
      </c>
      <c r="C17" s="130">
        <f>DATE(Jaartal,June!$B$3,June!$B17)</f>
        <v>42899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4</v>
      </c>
      <c r="B18">
        <v>14</v>
      </c>
      <c r="C18" s="130">
        <f>DATE(Jaartal,June!$B$3,June!$B18)</f>
        <v>42900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5</v>
      </c>
      <c r="B19">
        <v>15</v>
      </c>
      <c r="C19" s="130">
        <f>DATE(Jaartal,June!$B$3,June!$B19)</f>
        <v>42901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6</v>
      </c>
      <c r="B20">
        <v>16</v>
      </c>
      <c r="C20" s="130">
        <f>DATE(Jaartal,June!$B$3,June!$B20)</f>
        <v>42902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7</v>
      </c>
      <c r="B21">
        <v>17</v>
      </c>
      <c r="C21" s="130">
        <f>DATE(Jaartal,June!$B$3,June!$B21)</f>
        <v>42903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1</v>
      </c>
      <c r="B22">
        <v>18</v>
      </c>
      <c r="C22" s="130">
        <f>DATE(Jaartal,June!$B$3,June!$B22)</f>
        <v>42904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2</v>
      </c>
      <c r="B23">
        <v>19</v>
      </c>
      <c r="C23" s="130">
        <f>DATE(Jaartal,June!$B$3,June!$B23)</f>
        <v>42905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3</v>
      </c>
      <c r="B24">
        <v>20</v>
      </c>
      <c r="C24" s="130">
        <f>DATE(Jaartal,June!$B$3,June!$B24)</f>
        <v>42906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4</v>
      </c>
      <c r="B25">
        <v>21</v>
      </c>
      <c r="C25" s="130">
        <f>DATE(Jaartal,June!$B$3,June!$B25)</f>
        <v>42907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5</v>
      </c>
      <c r="B26">
        <v>22</v>
      </c>
      <c r="C26" s="130">
        <f>DATE(Jaartal,June!$B$3,June!$B26)</f>
        <v>42908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6</v>
      </c>
      <c r="B27">
        <v>23</v>
      </c>
      <c r="C27" s="130">
        <f>DATE(Jaartal,June!$B$3,June!$B27)</f>
        <v>42909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7</v>
      </c>
      <c r="B28">
        <v>24</v>
      </c>
      <c r="C28" s="130">
        <f>DATE(Jaartal,June!$B$3,June!$B28)</f>
        <v>42910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1</v>
      </c>
      <c r="B29">
        <v>25</v>
      </c>
      <c r="C29" s="130">
        <f>DATE(Jaartal,June!$B$3,June!$B29)</f>
        <v>42911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2</v>
      </c>
      <c r="B30">
        <v>26</v>
      </c>
      <c r="C30" s="130">
        <f>DATE(Jaartal,June!$B$3,June!$B30)</f>
        <v>42912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3</v>
      </c>
      <c r="B31">
        <v>27</v>
      </c>
      <c r="C31" s="130">
        <f>DATE(Jaartal,June!$B$3,June!$B31)</f>
        <v>42913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4</v>
      </c>
      <c r="B32">
        <v>28</v>
      </c>
      <c r="C32" s="130">
        <f>DATE(Jaartal,June!$B$3,June!$B32)</f>
        <v>42914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5</v>
      </c>
      <c r="B33">
        <v>29</v>
      </c>
      <c r="C33" s="130">
        <f>DATE(Jaartal,June!$B$3,June!$B33)</f>
        <v>42915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6</v>
      </c>
      <c r="B34">
        <v>30</v>
      </c>
      <c r="C34" s="130">
        <f>DATE(Jaartal,June!$B$3,June!$B34)</f>
        <v>42916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7</v>
      </c>
      <c r="B35">
        <v>31</v>
      </c>
      <c r="C35" s="130">
        <f>DATE(Jaartal,June!$B$3,June!$B35)</f>
        <v>42917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3" priority="1" stopIfTrue="1">
      <formula>D5=3</formula>
    </cfRule>
    <cfRule type="expression" dxfId="2" priority="2" stopIfTrue="1">
      <formula>D5=2</formula>
    </cfRule>
    <cfRule type="expression" dxfId="1" priority="3" stopIfTrue="1">
      <formula>D5=1</formula>
    </cfRule>
    <cfRule type="expression" dxfId="0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D2:AD2" xr:uid="{98DC66D5-4154-4D6B-8195-B070CC2EA439}">
      <formula1>"D,W,M,Q"</formula1>
    </dataValidation>
    <dataValidation type="list" allowBlank="1" showInputMessage="1" showErrorMessage="1" sqref="DK5:DK35 CI5:CI35 BG5:BG35 AE5:AE35" xr:uid="{B9C65CDE-4CA8-452F-BB37-39B54A0558AF}">
      <formula1>List_Personen</formula1>
    </dataValidation>
    <dataValidation type="list" allowBlank="1" showInputMessage="1" showErrorMessage="1" sqref="C3" xr:uid="{99C3C0A4-8103-46BB-9350-98FB9FC381D6}">
      <formula1>List_Maanden</formula1>
    </dataValidation>
    <dataValidation type="list" allowBlank="1" showInputMessage="1" showErrorMessage="1" sqref="AF5:BF35 BH5:CH35 CJ5:DJ35 D5:AD35" xr:uid="{D8313052-F096-456B-B8D3-4103B93B6669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4F27D-63AC-41FC-8AB4-23E461561DB9}">
  <sheetPr codeName="Sheet12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7</v>
      </c>
      <c r="C3" s="61" t="s">
        <v>62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7</v>
      </c>
      <c r="B5">
        <v>1</v>
      </c>
      <c r="C5" s="130">
        <f>DATE(Jaartal,July!$B$3,July!$B5)</f>
        <v>42917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1</v>
      </c>
      <c r="B6">
        <v>2</v>
      </c>
      <c r="C6" s="130">
        <f>DATE(Jaartal,July!$B$3,July!$B6)</f>
        <v>42918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2</v>
      </c>
      <c r="B7">
        <v>3</v>
      </c>
      <c r="C7" s="130">
        <f>DATE(Jaartal,July!$B$3,July!$B7)</f>
        <v>42919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3</v>
      </c>
      <c r="B8">
        <v>4</v>
      </c>
      <c r="C8" s="130">
        <f>DATE(Jaartal,July!$B$3,July!$B8)</f>
        <v>42920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4</v>
      </c>
      <c r="B9">
        <v>5</v>
      </c>
      <c r="C9" s="130">
        <f>DATE(Jaartal,July!$B$3,July!$B9)</f>
        <v>42921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5</v>
      </c>
      <c r="B10">
        <v>6</v>
      </c>
      <c r="C10" s="130">
        <f>DATE(Jaartal,July!$B$3,July!$B10)</f>
        <v>42922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6</v>
      </c>
      <c r="B11">
        <v>7</v>
      </c>
      <c r="C11" s="130">
        <f>DATE(Jaartal,July!$B$3,July!$B11)</f>
        <v>42923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7</v>
      </c>
      <c r="B12">
        <v>8</v>
      </c>
      <c r="C12" s="130">
        <f>DATE(Jaartal,July!$B$3,July!$B12)</f>
        <v>42924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1</v>
      </c>
      <c r="B13">
        <v>9</v>
      </c>
      <c r="C13" s="130">
        <f>DATE(Jaartal,July!$B$3,July!$B13)</f>
        <v>42925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2</v>
      </c>
      <c r="B14">
        <v>10</v>
      </c>
      <c r="C14" s="130">
        <f>DATE(Jaartal,July!$B$3,July!$B14)</f>
        <v>42926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3</v>
      </c>
      <c r="B15">
        <v>11</v>
      </c>
      <c r="C15" s="130">
        <f>DATE(Jaartal,July!$B$3,July!$B15)</f>
        <v>42927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4</v>
      </c>
      <c r="B16">
        <v>12</v>
      </c>
      <c r="C16" s="130">
        <f>DATE(Jaartal,July!$B$3,July!$B16)</f>
        <v>42928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5</v>
      </c>
      <c r="B17">
        <v>13</v>
      </c>
      <c r="C17" s="130">
        <f>DATE(Jaartal,July!$B$3,July!$B17)</f>
        <v>42929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6</v>
      </c>
      <c r="B18">
        <v>14</v>
      </c>
      <c r="C18" s="130">
        <f>DATE(Jaartal,July!$B$3,July!$B18)</f>
        <v>42930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7</v>
      </c>
      <c r="B19">
        <v>15</v>
      </c>
      <c r="C19" s="130">
        <f>DATE(Jaartal,July!$B$3,July!$B19)</f>
        <v>42931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1</v>
      </c>
      <c r="B20">
        <v>16</v>
      </c>
      <c r="C20" s="130">
        <f>DATE(Jaartal,July!$B$3,July!$B20)</f>
        <v>42932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2</v>
      </c>
      <c r="B21">
        <v>17</v>
      </c>
      <c r="C21" s="130">
        <f>DATE(Jaartal,July!$B$3,July!$B21)</f>
        <v>42933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3</v>
      </c>
      <c r="B22">
        <v>18</v>
      </c>
      <c r="C22" s="130">
        <f>DATE(Jaartal,July!$B$3,July!$B22)</f>
        <v>42934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4</v>
      </c>
      <c r="B23">
        <v>19</v>
      </c>
      <c r="C23" s="130">
        <f>DATE(Jaartal,July!$B$3,July!$B23)</f>
        <v>42935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5</v>
      </c>
      <c r="B24">
        <v>20</v>
      </c>
      <c r="C24" s="130">
        <f>DATE(Jaartal,July!$B$3,July!$B24)</f>
        <v>42936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6</v>
      </c>
      <c r="B25">
        <v>21</v>
      </c>
      <c r="C25" s="130">
        <f>DATE(Jaartal,July!$B$3,July!$B25)</f>
        <v>42937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7</v>
      </c>
      <c r="B26">
        <v>22</v>
      </c>
      <c r="C26" s="130">
        <f>DATE(Jaartal,July!$B$3,July!$B26)</f>
        <v>42938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1</v>
      </c>
      <c r="B27">
        <v>23</v>
      </c>
      <c r="C27" s="130">
        <f>DATE(Jaartal,July!$B$3,July!$B27)</f>
        <v>42939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2</v>
      </c>
      <c r="B28">
        <v>24</v>
      </c>
      <c r="C28" s="130">
        <f>DATE(Jaartal,July!$B$3,July!$B28)</f>
        <v>42940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3</v>
      </c>
      <c r="B29">
        <v>25</v>
      </c>
      <c r="C29" s="130">
        <f>DATE(Jaartal,July!$B$3,July!$B29)</f>
        <v>42941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4</v>
      </c>
      <c r="B30">
        <v>26</v>
      </c>
      <c r="C30" s="130">
        <f>DATE(Jaartal,July!$B$3,July!$B30)</f>
        <v>42942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5</v>
      </c>
      <c r="B31">
        <v>27</v>
      </c>
      <c r="C31" s="130">
        <f>DATE(Jaartal,July!$B$3,July!$B31)</f>
        <v>42943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6</v>
      </c>
      <c r="B32">
        <v>28</v>
      </c>
      <c r="C32" s="130">
        <f>DATE(Jaartal,July!$B$3,July!$B32)</f>
        <v>42944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7</v>
      </c>
      <c r="B33">
        <v>29</v>
      </c>
      <c r="C33" s="130">
        <f>DATE(Jaartal,July!$B$3,July!$B33)</f>
        <v>42945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1</v>
      </c>
      <c r="B34">
        <v>30</v>
      </c>
      <c r="C34" s="130">
        <f>DATE(Jaartal,July!$B$3,July!$B34)</f>
        <v>42946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2</v>
      </c>
      <c r="B35">
        <v>31</v>
      </c>
      <c r="C35" s="130">
        <f>DATE(Jaartal,July!$B$3,July!$B35)</f>
        <v>42947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11" priority="1" stopIfTrue="1">
      <formula>D5=3</formula>
    </cfRule>
    <cfRule type="expression" dxfId="10" priority="2" stopIfTrue="1">
      <formula>D5=2</formula>
    </cfRule>
    <cfRule type="expression" dxfId="9" priority="3" stopIfTrue="1">
      <formula>D5=1</formula>
    </cfRule>
    <cfRule type="expression" dxfId="8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AF5:BF35 BH5:CH35 CJ5:DJ35 D5:AD35" xr:uid="{4094F4B1-BA78-47BF-838F-45C3965991C9}">
      <formula1>Status</formula1>
    </dataValidation>
    <dataValidation type="list" allowBlank="1" showInputMessage="1" showErrorMessage="1" sqref="C3" xr:uid="{4607FB86-EF14-4A98-8C89-16040326FFB3}">
      <formula1>List_Maanden</formula1>
    </dataValidation>
    <dataValidation type="list" allowBlank="1" showInputMessage="1" showErrorMessage="1" sqref="DK5:DK35 CI5:CI35 BG5:BG35 AE5:AE35" xr:uid="{D8792EFE-6504-4761-AEFB-E102D90F073B}">
      <formula1>List_Personen</formula1>
    </dataValidation>
    <dataValidation type="list" allowBlank="1" showInputMessage="1" showErrorMessage="1" sqref="D2:AD2" xr:uid="{D6AF3624-1F27-471B-A4C0-69C863F6A97D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13029-6CEF-4922-B6C7-0D75E3EB5003}">
  <sheetPr codeName="Sheet13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8</v>
      </c>
      <c r="C3" s="61" t="s">
        <v>63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3</v>
      </c>
      <c r="B5">
        <v>1</v>
      </c>
      <c r="C5" s="130">
        <f>DATE(Jaartal,August!$B$3,August!$B5)</f>
        <v>42948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4</v>
      </c>
      <c r="B6">
        <v>2</v>
      </c>
      <c r="C6" s="130">
        <f>DATE(Jaartal,August!$B$3,August!$B6)</f>
        <v>42949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5</v>
      </c>
      <c r="B7">
        <v>3</v>
      </c>
      <c r="C7" s="130">
        <f>DATE(Jaartal,August!$B$3,August!$B7)</f>
        <v>42950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6</v>
      </c>
      <c r="B8">
        <v>4</v>
      </c>
      <c r="C8" s="130">
        <f>DATE(Jaartal,August!$B$3,August!$B8)</f>
        <v>42951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7</v>
      </c>
      <c r="B9">
        <v>5</v>
      </c>
      <c r="C9" s="130">
        <f>DATE(Jaartal,August!$B$3,August!$B9)</f>
        <v>42952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1</v>
      </c>
      <c r="B10">
        <v>6</v>
      </c>
      <c r="C10" s="130">
        <f>DATE(Jaartal,August!$B$3,August!$B10)</f>
        <v>42953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2</v>
      </c>
      <c r="B11">
        <v>7</v>
      </c>
      <c r="C11" s="130">
        <f>DATE(Jaartal,August!$B$3,August!$B11)</f>
        <v>42954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3</v>
      </c>
      <c r="B12">
        <v>8</v>
      </c>
      <c r="C12" s="130">
        <f>DATE(Jaartal,August!$B$3,August!$B12)</f>
        <v>42955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4</v>
      </c>
      <c r="B13">
        <v>9</v>
      </c>
      <c r="C13" s="130">
        <f>DATE(Jaartal,August!$B$3,August!$B13)</f>
        <v>42956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5</v>
      </c>
      <c r="B14">
        <v>10</v>
      </c>
      <c r="C14" s="130">
        <f>DATE(Jaartal,August!$B$3,August!$B14)</f>
        <v>42957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6</v>
      </c>
      <c r="B15">
        <v>11</v>
      </c>
      <c r="C15" s="130">
        <f>DATE(Jaartal,August!$B$3,August!$B15)</f>
        <v>42958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7</v>
      </c>
      <c r="B16">
        <v>12</v>
      </c>
      <c r="C16" s="130">
        <f>DATE(Jaartal,August!$B$3,August!$B16)</f>
        <v>42959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1</v>
      </c>
      <c r="B17">
        <v>13</v>
      </c>
      <c r="C17" s="130">
        <f>DATE(Jaartal,August!$B$3,August!$B17)</f>
        <v>42960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2</v>
      </c>
      <c r="B18">
        <v>14</v>
      </c>
      <c r="C18" s="130">
        <f>DATE(Jaartal,August!$B$3,August!$B18)</f>
        <v>42961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3</v>
      </c>
      <c r="B19">
        <v>15</v>
      </c>
      <c r="C19" s="130">
        <f>DATE(Jaartal,August!$B$3,August!$B19)</f>
        <v>42962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4</v>
      </c>
      <c r="B20">
        <v>16</v>
      </c>
      <c r="C20" s="130">
        <f>DATE(Jaartal,August!$B$3,August!$B20)</f>
        <v>42963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5</v>
      </c>
      <c r="B21">
        <v>17</v>
      </c>
      <c r="C21" s="130">
        <f>DATE(Jaartal,August!$B$3,August!$B21)</f>
        <v>42964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6</v>
      </c>
      <c r="B22">
        <v>18</v>
      </c>
      <c r="C22" s="130">
        <f>DATE(Jaartal,August!$B$3,August!$B22)</f>
        <v>42965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7</v>
      </c>
      <c r="B23">
        <v>19</v>
      </c>
      <c r="C23" s="130">
        <f>DATE(Jaartal,August!$B$3,August!$B23)</f>
        <v>42966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1</v>
      </c>
      <c r="B24">
        <v>20</v>
      </c>
      <c r="C24" s="130">
        <f>DATE(Jaartal,August!$B$3,August!$B24)</f>
        <v>42967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2</v>
      </c>
      <c r="B25">
        <v>21</v>
      </c>
      <c r="C25" s="130">
        <f>DATE(Jaartal,August!$B$3,August!$B25)</f>
        <v>42968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3</v>
      </c>
      <c r="B26">
        <v>22</v>
      </c>
      <c r="C26" s="130">
        <f>DATE(Jaartal,August!$B$3,August!$B26)</f>
        <v>42969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4</v>
      </c>
      <c r="B27">
        <v>23</v>
      </c>
      <c r="C27" s="130">
        <f>DATE(Jaartal,August!$B$3,August!$B27)</f>
        <v>42970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5</v>
      </c>
      <c r="B28">
        <v>24</v>
      </c>
      <c r="C28" s="130">
        <f>DATE(Jaartal,August!$B$3,August!$B28)</f>
        <v>42971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6</v>
      </c>
      <c r="B29">
        <v>25</v>
      </c>
      <c r="C29" s="130">
        <f>DATE(Jaartal,August!$B$3,August!$B29)</f>
        <v>42972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7</v>
      </c>
      <c r="B30">
        <v>26</v>
      </c>
      <c r="C30" s="130">
        <f>DATE(Jaartal,August!$B$3,August!$B30)</f>
        <v>42973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1</v>
      </c>
      <c r="B31">
        <v>27</v>
      </c>
      <c r="C31" s="130">
        <f>DATE(Jaartal,August!$B$3,August!$B31)</f>
        <v>42974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2</v>
      </c>
      <c r="B32">
        <v>28</v>
      </c>
      <c r="C32" s="130">
        <f>DATE(Jaartal,August!$B$3,August!$B32)</f>
        <v>42975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3</v>
      </c>
      <c r="B33">
        <v>29</v>
      </c>
      <c r="C33" s="130">
        <f>DATE(Jaartal,August!$B$3,August!$B33)</f>
        <v>42976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4</v>
      </c>
      <c r="B34">
        <v>30</v>
      </c>
      <c r="C34" s="130">
        <f>DATE(Jaartal,August!$B$3,August!$B34)</f>
        <v>42977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5</v>
      </c>
      <c r="B35">
        <v>31</v>
      </c>
      <c r="C35" s="130">
        <f>DATE(Jaartal,August!$B$3,August!$B35)</f>
        <v>42978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7" priority="1" stopIfTrue="1">
      <formula>D5=3</formula>
    </cfRule>
    <cfRule type="expression" dxfId="6" priority="2" stopIfTrue="1">
      <formula>D5=2</formula>
    </cfRule>
    <cfRule type="expression" dxfId="5" priority="3" stopIfTrue="1">
      <formula>D5=1</formula>
    </cfRule>
    <cfRule type="expression" dxfId="4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AF5:BF35 BH5:CH35 CJ5:DJ35 D5:AD35" xr:uid="{A0C4F018-2F4C-4AF6-A706-1C94873948B6}">
      <formula1>Status</formula1>
    </dataValidation>
    <dataValidation type="list" allowBlank="1" showInputMessage="1" showErrorMessage="1" sqref="C3" xr:uid="{26113E02-AD97-45B1-BBF7-36BEBE1A3EAF}">
      <formula1>List_Maanden</formula1>
    </dataValidation>
    <dataValidation type="list" allowBlank="1" showInputMessage="1" showErrorMessage="1" sqref="DK5:DK35 CI5:CI35 BG5:BG35 AE5:AE35" xr:uid="{D9CBA4AE-B547-4550-A783-E569B98FE0CC}">
      <formula1>List_Personen</formula1>
    </dataValidation>
    <dataValidation type="list" allowBlank="1" showInputMessage="1" showErrorMessage="1" sqref="D2:AD2" xr:uid="{293305BA-C2EB-4C0F-84F7-B845C37CF347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32DFD-5AC0-4D35-89CD-D8EFCB1B3455}">
  <sheetPr codeName="Sheet11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7.132812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9</v>
      </c>
      <c r="C3" s="61" t="s">
        <v>10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6</v>
      </c>
      <c r="B5">
        <v>1</v>
      </c>
      <c r="C5" s="130">
        <f>DATE(Jaartal,September!$B$3,September!$B5)</f>
        <v>42979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7</v>
      </c>
      <c r="B6">
        <v>2</v>
      </c>
      <c r="C6" s="130">
        <f>DATE(Jaartal,September!$B$3,September!$B6)</f>
        <v>42980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1</v>
      </c>
      <c r="B7">
        <v>3</v>
      </c>
      <c r="C7" s="130">
        <f>DATE(Jaartal,September!$B$3,September!$B7)</f>
        <v>42981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2</v>
      </c>
      <c r="B8">
        <v>4</v>
      </c>
      <c r="C8" s="130">
        <f>DATE(Jaartal,September!$B$3,September!$B8)</f>
        <v>42982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3</v>
      </c>
      <c r="B9">
        <v>5</v>
      </c>
      <c r="C9" s="130">
        <f>DATE(Jaartal,September!$B$3,September!$B9)</f>
        <v>42983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4</v>
      </c>
      <c r="B10">
        <v>6</v>
      </c>
      <c r="C10" s="130">
        <f>DATE(Jaartal,September!$B$3,September!$B10)</f>
        <v>42984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5</v>
      </c>
      <c r="B11">
        <v>7</v>
      </c>
      <c r="C11" s="130">
        <f>DATE(Jaartal,September!$B$3,September!$B11)</f>
        <v>42985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6</v>
      </c>
      <c r="B12">
        <v>8</v>
      </c>
      <c r="C12" s="130">
        <f>DATE(Jaartal,September!$B$3,September!$B12)</f>
        <v>42986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7</v>
      </c>
      <c r="B13">
        <v>9</v>
      </c>
      <c r="C13" s="130">
        <f>DATE(Jaartal,September!$B$3,September!$B13)</f>
        <v>42987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1</v>
      </c>
      <c r="B14">
        <v>10</v>
      </c>
      <c r="C14" s="130">
        <f>DATE(Jaartal,September!$B$3,September!$B14)</f>
        <v>42988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2</v>
      </c>
      <c r="B15">
        <v>11</v>
      </c>
      <c r="C15" s="130">
        <f>DATE(Jaartal,September!$B$3,September!$B15)</f>
        <v>42989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3</v>
      </c>
      <c r="B16">
        <v>12</v>
      </c>
      <c r="C16" s="130">
        <f>DATE(Jaartal,September!$B$3,September!$B16)</f>
        <v>42990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4</v>
      </c>
      <c r="B17">
        <v>13</v>
      </c>
      <c r="C17" s="130">
        <f>DATE(Jaartal,September!$B$3,September!$B17)</f>
        <v>42991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5</v>
      </c>
      <c r="B18">
        <v>14</v>
      </c>
      <c r="C18" s="130">
        <f>DATE(Jaartal,September!$B$3,September!$B18)</f>
        <v>42992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6</v>
      </c>
      <c r="B19">
        <v>15</v>
      </c>
      <c r="C19" s="130">
        <f>DATE(Jaartal,September!$B$3,September!$B19)</f>
        <v>42993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7</v>
      </c>
      <c r="B20">
        <v>16</v>
      </c>
      <c r="C20" s="130">
        <f>DATE(Jaartal,September!$B$3,September!$B20)</f>
        <v>42994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1</v>
      </c>
      <c r="B21">
        <v>17</v>
      </c>
      <c r="C21" s="130">
        <f>DATE(Jaartal,September!$B$3,September!$B21)</f>
        <v>42995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2</v>
      </c>
      <c r="B22">
        <v>18</v>
      </c>
      <c r="C22" s="130">
        <f>DATE(Jaartal,September!$B$3,September!$B22)</f>
        <v>42996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3</v>
      </c>
      <c r="B23">
        <v>19</v>
      </c>
      <c r="C23" s="130">
        <f>DATE(Jaartal,September!$B$3,September!$B23)</f>
        <v>42997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4</v>
      </c>
      <c r="B24">
        <v>20</v>
      </c>
      <c r="C24" s="130">
        <f>DATE(Jaartal,September!$B$3,September!$B24)</f>
        <v>42998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5</v>
      </c>
      <c r="B25">
        <v>21</v>
      </c>
      <c r="C25" s="130">
        <f>DATE(Jaartal,September!$B$3,September!$B25)</f>
        <v>42999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6</v>
      </c>
      <c r="B26">
        <v>22</v>
      </c>
      <c r="C26" s="130">
        <f>DATE(Jaartal,September!$B$3,September!$B26)</f>
        <v>43000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7</v>
      </c>
      <c r="B27">
        <v>23</v>
      </c>
      <c r="C27" s="130">
        <f>DATE(Jaartal,September!$B$3,September!$B27)</f>
        <v>43001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1</v>
      </c>
      <c r="B28">
        <v>24</v>
      </c>
      <c r="C28" s="130">
        <f>DATE(Jaartal,September!$B$3,September!$B28)</f>
        <v>43002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2</v>
      </c>
      <c r="B29">
        <v>25</v>
      </c>
      <c r="C29" s="130">
        <f>DATE(Jaartal,September!$B$3,September!$B29)</f>
        <v>43003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3</v>
      </c>
      <c r="B30">
        <v>26</v>
      </c>
      <c r="C30" s="130">
        <f>DATE(Jaartal,September!$B$3,September!$B30)</f>
        <v>43004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4</v>
      </c>
      <c r="B31">
        <v>27</v>
      </c>
      <c r="C31" s="130">
        <f>DATE(Jaartal,September!$B$3,September!$B31)</f>
        <v>43005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5</v>
      </c>
      <c r="B32">
        <v>28</v>
      </c>
      <c r="C32" s="130">
        <f>DATE(Jaartal,September!$B$3,September!$B32)</f>
        <v>43006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6</v>
      </c>
      <c r="B33">
        <v>29</v>
      </c>
      <c r="C33" s="130">
        <f>DATE(Jaartal,September!$B$3,September!$B33)</f>
        <v>43007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7</v>
      </c>
      <c r="B34">
        <v>30</v>
      </c>
      <c r="C34" s="130">
        <f>DATE(Jaartal,September!$B$3,September!$B34)</f>
        <v>43008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1</v>
      </c>
      <c r="B35">
        <v>31</v>
      </c>
      <c r="C35" s="130">
        <f>DATE(Jaartal,September!$B$3,September!$B35)</f>
        <v>43009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15" priority="1" stopIfTrue="1">
      <formula>D5=3</formula>
    </cfRule>
    <cfRule type="expression" dxfId="14" priority="2" stopIfTrue="1">
      <formula>D5=2</formula>
    </cfRule>
    <cfRule type="expression" dxfId="13" priority="3" stopIfTrue="1">
      <formula>D5=1</formula>
    </cfRule>
    <cfRule type="expression" dxfId="12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AF5:BF35 BH5:CH35 CJ5:DJ35 D5:AD35" xr:uid="{8958928E-6CB5-4E16-8EEC-8CA41AF0ADFF}">
      <formula1>Status</formula1>
    </dataValidation>
    <dataValidation type="list" allowBlank="1" showInputMessage="1" showErrorMessage="1" sqref="C3" xr:uid="{0C5F611B-9EFE-403A-952D-BE993DD8FE48}">
      <formula1>List_Maanden</formula1>
    </dataValidation>
    <dataValidation type="list" allowBlank="1" showInputMessage="1" showErrorMessage="1" sqref="DK5:DK35 CI5:CI35 BG5:BG35 AE5:AE35" xr:uid="{D4550948-335E-49BB-9178-72F213FDBB17}">
      <formula1>List_Personen</formula1>
    </dataValidation>
    <dataValidation type="list" allowBlank="1" showInputMessage="1" showErrorMessage="1" sqref="D2:AD2" xr:uid="{50C3DD07-EF59-4019-B7CF-D0CCABB9EBBF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CF23B-5656-4FA2-8DB0-3E1AD1FF1941}">
  <sheetPr codeName="Sheet10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10</v>
      </c>
      <c r="C3" s="61" t="s">
        <v>64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1</v>
      </c>
      <c r="B5">
        <v>1</v>
      </c>
      <c r="C5" s="130">
        <f>DATE(Jaartal,October!$B$3,October!$B5)</f>
        <v>43009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2</v>
      </c>
      <c r="B6">
        <v>2</v>
      </c>
      <c r="C6" s="130">
        <f>DATE(Jaartal,October!$B$3,October!$B6)</f>
        <v>43010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3</v>
      </c>
      <c r="B7">
        <v>3</v>
      </c>
      <c r="C7" s="130">
        <f>DATE(Jaartal,October!$B$3,October!$B7)</f>
        <v>43011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4</v>
      </c>
      <c r="B8">
        <v>4</v>
      </c>
      <c r="C8" s="130">
        <f>DATE(Jaartal,October!$B$3,October!$B8)</f>
        <v>43012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5</v>
      </c>
      <c r="B9">
        <v>5</v>
      </c>
      <c r="C9" s="130">
        <f>DATE(Jaartal,October!$B$3,October!$B9)</f>
        <v>43013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6</v>
      </c>
      <c r="B10">
        <v>6</v>
      </c>
      <c r="C10" s="130">
        <f>DATE(Jaartal,October!$B$3,October!$B10)</f>
        <v>43014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7</v>
      </c>
      <c r="B11">
        <v>7</v>
      </c>
      <c r="C11" s="130">
        <f>DATE(Jaartal,October!$B$3,October!$B11)</f>
        <v>43015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1</v>
      </c>
      <c r="B12">
        <v>8</v>
      </c>
      <c r="C12" s="130">
        <f>DATE(Jaartal,October!$B$3,October!$B12)</f>
        <v>43016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2</v>
      </c>
      <c r="B13">
        <v>9</v>
      </c>
      <c r="C13" s="130">
        <f>DATE(Jaartal,October!$B$3,October!$B13)</f>
        <v>43017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3</v>
      </c>
      <c r="B14">
        <v>10</v>
      </c>
      <c r="C14" s="130">
        <f>DATE(Jaartal,October!$B$3,October!$B14)</f>
        <v>43018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4</v>
      </c>
      <c r="B15">
        <v>11</v>
      </c>
      <c r="C15" s="130">
        <f>DATE(Jaartal,October!$B$3,October!$B15)</f>
        <v>43019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5</v>
      </c>
      <c r="B16">
        <v>12</v>
      </c>
      <c r="C16" s="130">
        <f>DATE(Jaartal,October!$B$3,October!$B16)</f>
        <v>43020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6</v>
      </c>
      <c r="B17">
        <v>13</v>
      </c>
      <c r="C17" s="130">
        <f>DATE(Jaartal,October!$B$3,October!$B17)</f>
        <v>43021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7</v>
      </c>
      <c r="B18">
        <v>14</v>
      </c>
      <c r="C18" s="130">
        <f>DATE(Jaartal,October!$B$3,October!$B18)</f>
        <v>43022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1</v>
      </c>
      <c r="B19">
        <v>15</v>
      </c>
      <c r="C19" s="130">
        <f>DATE(Jaartal,October!$B$3,October!$B19)</f>
        <v>43023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2</v>
      </c>
      <c r="B20">
        <v>16</v>
      </c>
      <c r="C20" s="130">
        <f>DATE(Jaartal,October!$B$3,October!$B20)</f>
        <v>43024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3</v>
      </c>
      <c r="B21">
        <v>17</v>
      </c>
      <c r="C21" s="130">
        <f>DATE(Jaartal,October!$B$3,October!$B21)</f>
        <v>43025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4</v>
      </c>
      <c r="B22">
        <v>18</v>
      </c>
      <c r="C22" s="130">
        <f>DATE(Jaartal,October!$B$3,October!$B22)</f>
        <v>43026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5</v>
      </c>
      <c r="B23">
        <v>19</v>
      </c>
      <c r="C23" s="130">
        <f>DATE(Jaartal,October!$B$3,October!$B23)</f>
        <v>43027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6</v>
      </c>
      <c r="B24">
        <v>20</v>
      </c>
      <c r="C24" s="130">
        <f>DATE(Jaartal,October!$B$3,October!$B24)</f>
        <v>43028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7</v>
      </c>
      <c r="B25">
        <v>21</v>
      </c>
      <c r="C25" s="130">
        <f>DATE(Jaartal,October!$B$3,October!$B25)</f>
        <v>43029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1</v>
      </c>
      <c r="B26">
        <v>22</v>
      </c>
      <c r="C26" s="130">
        <f>DATE(Jaartal,October!$B$3,October!$B26)</f>
        <v>43030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2</v>
      </c>
      <c r="B27">
        <v>23</v>
      </c>
      <c r="C27" s="130">
        <f>DATE(Jaartal,October!$B$3,October!$B27)</f>
        <v>43031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3</v>
      </c>
      <c r="B28">
        <v>24</v>
      </c>
      <c r="C28" s="130">
        <f>DATE(Jaartal,October!$B$3,October!$B28)</f>
        <v>43032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4</v>
      </c>
      <c r="B29">
        <v>25</v>
      </c>
      <c r="C29" s="130">
        <f>DATE(Jaartal,October!$B$3,October!$B29)</f>
        <v>43033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5</v>
      </c>
      <c r="B30">
        <v>26</v>
      </c>
      <c r="C30" s="130">
        <f>DATE(Jaartal,October!$B$3,October!$B30)</f>
        <v>43034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6</v>
      </c>
      <c r="B31">
        <v>27</v>
      </c>
      <c r="C31" s="130">
        <f>DATE(Jaartal,October!$B$3,October!$B31)</f>
        <v>43035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7</v>
      </c>
      <c r="B32">
        <v>28</v>
      </c>
      <c r="C32" s="130">
        <f>DATE(Jaartal,October!$B$3,October!$B32)</f>
        <v>43036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1</v>
      </c>
      <c r="B33">
        <v>29</v>
      </c>
      <c r="C33" s="130">
        <f>DATE(Jaartal,October!$B$3,October!$B33)</f>
        <v>43037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2</v>
      </c>
      <c r="B34">
        <v>30</v>
      </c>
      <c r="C34" s="130">
        <f>DATE(Jaartal,October!$B$3,October!$B34)</f>
        <v>43038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3</v>
      </c>
      <c r="B35">
        <v>31</v>
      </c>
      <c r="C35" s="130">
        <f>DATE(Jaartal,October!$B$3,October!$B35)</f>
        <v>43039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19" priority="1" stopIfTrue="1">
      <formula>D5=3</formula>
    </cfRule>
    <cfRule type="expression" dxfId="18" priority="2" stopIfTrue="1">
      <formula>D5=2</formula>
    </cfRule>
    <cfRule type="expression" dxfId="17" priority="3" stopIfTrue="1">
      <formula>D5=1</formula>
    </cfRule>
    <cfRule type="expression" dxfId="16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D2:AD2" xr:uid="{987C8B7D-1B7E-4252-9D17-4DCE7D2E375F}">
      <formula1>"D,W,M,Q"</formula1>
    </dataValidation>
    <dataValidation type="list" allowBlank="1" showInputMessage="1" showErrorMessage="1" sqref="DK5:DK35 CI5:CI35 BG5:BG35 AE5:AE35" xr:uid="{A8957C7B-6914-4821-AF8F-F646839F115F}">
      <formula1>List_Personen</formula1>
    </dataValidation>
    <dataValidation type="list" allowBlank="1" showInputMessage="1" showErrorMessage="1" sqref="C3" xr:uid="{8B555F4D-FA25-4DCF-8470-93B18B2DA754}">
      <formula1>List_Maanden</formula1>
    </dataValidation>
    <dataValidation type="list" allowBlank="1" showInputMessage="1" showErrorMessage="1" sqref="AF5:BF35 BH5:CH35 CJ5:DJ35 D5:AD35" xr:uid="{69582DDC-8FAE-4F75-8D26-A074DFD06655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68E75-7766-423A-9F28-7C86AE3C0648}">
  <sheetPr codeName="Sheet8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6.5312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11</v>
      </c>
      <c r="C3" s="61" t="s">
        <v>11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4</v>
      </c>
      <c r="B5">
        <v>1</v>
      </c>
      <c r="C5" s="130">
        <f>DATE(Jaartal,November!$B$3,November!$B5)</f>
        <v>43040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5</v>
      </c>
      <c r="B6">
        <v>2</v>
      </c>
      <c r="C6" s="130">
        <f>DATE(Jaartal,November!$B$3,November!$B6)</f>
        <v>43041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6</v>
      </c>
      <c r="B7">
        <v>3</v>
      </c>
      <c r="C7" s="130">
        <f>DATE(Jaartal,November!$B$3,November!$B7)</f>
        <v>43042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7</v>
      </c>
      <c r="B8">
        <v>4</v>
      </c>
      <c r="C8" s="130">
        <f>DATE(Jaartal,November!$B$3,November!$B8)</f>
        <v>43043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1</v>
      </c>
      <c r="B9">
        <v>5</v>
      </c>
      <c r="C9" s="130">
        <f>DATE(Jaartal,November!$B$3,November!$B9)</f>
        <v>43044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2</v>
      </c>
      <c r="B10">
        <v>6</v>
      </c>
      <c r="C10" s="130">
        <f>DATE(Jaartal,November!$B$3,November!$B10)</f>
        <v>43045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3</v>
      </c>
      <c r="B11">
        <v>7</v>
      </c>
      <c r="C11" s="130">
        <f>DATE(Jaartal,November!$B$3,November!$B11)</f>
        <v>43046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4</v>
      </c>
      <c r="B12">
        <v>8</v>
      </c>
      <c r="C12" s="130">
        <f>DATE(Jaartal,November!$B$3,November!$B12)</f>
        <v>43047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5</v>
      </c>
      <c r="B13">
        <v>9</v>
      </c>
      <c r="C13" s="130">
        <f>DATE(Jaartal,November!$B$3,November!$B13)</f>
        <v>43048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6</v>
      </c>
      <c r="B14">
        <v>10</v>
      </c>
      <c r="C14" s="130">
        <f>DATE(Jaartal,November!$B$3,November!$B14)</f>
        <v>43049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7</v>
      </c>
      <c r="B15">
        <v>11</v>
      </c>
      <c r="C15" s="130">
        <f>DATE(Jaartal,November!$B$3,November!$B15)</f>
        <v>43050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1</v>
      </c>
      <c r="B16">
        <v>12</v>
      </c>
      <c r="C16" s="130">
        <f>DATE(Jaartal,November!$B$3,November!$B16)</f>
        <v>43051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2</v>
      </c>
      <c r="B17">
        <v>13</v>
      </c>
      <c r="C17" s="130">
        <f>DATE(Jaartal,November!$B$3,November!$B17)</f>
        <v>43052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3</v>
      </c>
      <c r="B18">
        <v>14</v>
      </c>
      <c r="C18" s="130">
        <f>DATE(Jaartal,November!$B$3,November!$B18)</f>
        <v>43053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4</v>
      </c>
      <c r="B19">
        <v>15</v>
      </c>
      <c r="C19" s="130">
        <f>DATE(Jaartal,November!$B$3,November!$B19)</f>
        <v>43054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5</v>
      </c>
      <c r="B20">
        <v>16</v>
      </c>
      <c r="C20" s="130">
        <f>DATE(Jaartal,November!$B$3,November!$B20)</f>
        <v>43055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6</v>
      </c>
      <c r="B21">
        <v>17</v>
      </c>
      <c r="C21" s="130">
        <f>DATE(Jaartal,November!$B$3,November!$B21)</f>
        <v>43056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7</v>
      </c>
      <c r="B22">
        <v>18</v>
      </c>
      <c r="C22" s="130">
        <f>DATE(Jaartal,November!$B$3,November!$B22)</f>
        <v>43057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1</v>
      </c>
      <c r="B23">
        <v>19</v>
      </c>
      <c r="C23" s="130">
        <f>DATE(Jaartal,November!$B$3,November!$B23)</f>
        <v>43058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2</v>
      </c>
      <c r="B24">
        <v>20</v>
      </c>
      <c r="C24" s="130">
        <f>DATE(Jaartal,November!$B$3,November!$B24)</f>
        <v>43059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3</v>
      </c>
      <c r="B25">
        <v>21</v>
      </c>
      <c r="C25" s="130">
        <f>DATE(Jaartal,November!$B$3,November!$B25)</f>
        <v>43060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4</v>
      </c>
      <c r="B26">
        <v>22</v>
      </c>
      <c r="C26" s="130">
        <f>DATE(Jaartal,November!$B$3,November!$B26)</f>
        <v>43061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5</v>
      </c>
      <c r="B27">
        <v>23</v>
      </c>
      <c r="C27" s="130">
        <f>DATE(Jaartal,November!$B$3,November!$B27)</f>
        <v>43062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6</v>
      </c>
      <c r="B28">
        <v>24</v>
      </c>
      <c r="C28" s="130">
        <f>DATE(Jaartal,November!$B$3,November!$B28)</f>
        <v>43063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7</v>
      </c>
      <c r="B29">
        <v>25</v>
      </c>
      <c r="C29" s="130">
        <f>DATE(Jaartal,November!$B$3,November!$B29)</f>
        <v>43064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1</v>
      </c>
      <c r="B30">
        <v>26</v>
      </c>
      <c r="C30" s="130">
        <f>DATE(Jaartal,November!$B$3,November!$B30)</f>
        <v>43065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2</v>
      </c>
      <c r="B31">
        <v>27</v>
      </c>
      <c r="C31" s="130">
        <f>DATE(Jaartal,November!$B$3,November!$B31)</f>
        <v>43066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3</v>
      </c>
      <c r="B32">
        <v>28</v>
      </c>
      <c r="C32" s="130">
        <f>DATE(Jaartal,November!$B$3,November!$B32)</f>
        <v>43067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4</v>
      </c>
      <c r="B33">
        <v>29</v>
      </c>
      <c r="C33" s="130">
        <f>DATE(Jaartal,November!$B$3,November!$B33)</f>
        <v>43068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5</v>
      </c>
      <c r="B34">
        <v>30</v>
      </c>
      <c r="C34" s="130">
        <f>DATE(Jaartal,November!$B$3,November!$B34)</f>
        <v>43069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6</v>
      </c>
      <c r="B35">
        <v>31</v>
      </c>
      <c r="C35" s="130">
        <f>DATE(Jaartal,November!$B$3,November!$B35)</f>
        <v>43070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27" priority="1" stopIfTrue="1">
      <formula>D5=3</formula>
    </cfRule>
    <cfRule type="expression" dxfId="26" priority="2" stopIfTrue="1">
      <formula>D5=2</formula>
    </cfRule>
    <cfRule type="expression" dxfId="25" priority="3" stopIfTrue="1">
      <formula>D5=1</formula>
    </cfRule>
    <cfRule type="expression" dxfId="24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D2:AD2" xr:uid="{987B642D-8623-4B1E-9BDD-80767519EB30}">
      <formula1>"D,W,M,Q"</formula1>
    </dataValidation>
    <dataValidation type="list" allowBlank="1" showInputMessage="1" showErrorMessage="1" sqref="DK5:DK35 CI5:CI35 BG5:BG35 AE5:AE35" xr:uid="{0449E682-9658-4D0D-9C8B-27ADAE3C5689}">
      <formula1>List_Personen</formula1>
    </dataValidation>
    <dataValidation type="list" allowBlank="1" showInputMessage="1" showErrorMessage="1" sqref="C3" xr:uid="{184734D5-32DC-47EC-8AAC-453BF05737C8}">
      <formula1>List_Maanden</formula1>
    </dataValidation>
    <dataValidation type="list" allowBlank="1" showInputMessage="1" showErrorMessage="1" sqref="AF5:BF35 BH5:CH35 CJ5:DJ35 D5:AD35" xr:uid="{BC855466-1BC4-46E7-AFA8-D6B7A8E8926D}">
      <formula1>Status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F1654-547C-4F97-980A-5FD503545CCC}">
  <sheetPr codeName="Sheet9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C3" sqref="C3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6.6640625" bestFit="1" customWidth="1"/>
    <col min="4" max="5" width="3.19921875" bestFit="1" customWidth="1"/>
    <col min="6" max="8" width="3.19921875" customWidth="1"/>
    <col min="9" max="10" width="3.19921875" bestFit="1" customWidth="1"/>
    <col min="11" max="15" width="3.19921875" customWidth="1"/>
    <col min="16" max="16" width="3.19921875" bestFit="1" customWidth="1"/>
    <col min="17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6" width="3.19921875" bestFit="1" customWidth="1"/>
    <col min="37" max="41" width="3.19921875" customWidth="1"/>
    <col min="42" max="43" width="3.19921875" bestFit="1" customWidth="1"/>
    <col min="44" max="44" width="2.73046875" bestFit="1" customWidth="1"/>
    <col min="45" max="58" width="2.73046875" customWidth="1"/>
    <col min="59" max="59" width="14" bestFit="1" customWidth="1"/>
    <col min="60" max="64" width="3.19921875" bestFit="1" customWidth="1"/>
    <col min="65" max="69" width="3.19921875" customWidth="1"/>
    <col min="70" max="71" width="3.19921875" bestFit="1" customWidth="1"/>
    <col min="72" max="72" width="2.73046875" bestFit="1" customWidth="1"/>
    <col min="73" max="86" width="2.73046875" customWidth="1"/>
    <col min="87" max="87" width="14" bestFit="1" customWidth="1"/>
    <col min="88" max="93" width="3.19921875" bestFit="1" customWidth="1"/>
    <col min="94" max="98" width="3.19921875" customWidth="1"/>
    <col min="99" max="99" width="3.19921875" bestFit="1" customWidth="1"/>
    <col min="100" max="100" width="2.73046875" bestFit="1" customWidth="1"/>
    <col min="101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tr">
        <f>+Template!D2</f>
        <v>D</v>
      </c>
      <c r="E2" s="4" t="str">
        <f>+Template!E2</f>
        <v>D</v>
      </c>
      <c r="F2" s="4" t="str">
        <f>+Template!F2</f>
        <v>D</v>
      </c>
      <c r="G2" s="4" t="str">
        <f>+Template!G2</f>
        <v>D</v>
      </c>
      <c r="H2" s="4" t="str">
        <f>+Template!H2</f>
        <v>D</v>
      </c>
      <c r="I2" s="5" t="str">
        <f>+Template!I2</f>
        <v>D</v>
      </c>
      <c r="J2" s="6" t="str">
        <f>+Template!J2</f>
        <v>D</v>
      </c>
      <c r="K2" s="6" t="str">
        <f>+Template!K2</f>
        <v>D</v>
      </c>
      <c r="L2" s="6" t="str">
        <f>+Template!L2</f>
        <v>D</v>
      </c>
      <c r="M2" s="6" t="str">
        <f>+Template!M2</f>
        <v>D</v>
      </c>
      <c r="N2" s="6" t="str">
        <f>+Template!N2</f>
        <v>D</v>
      </c>
      <c r="O2" s="6" t="str">
        <f>+Template!O2</f>
        <v>D</v>
      </c>
      <c r="P2" s="6" t="str">
        <f>+Template!P2</f>
        <v>D</v>
      </c>
      <c r="Q2" s="6" t="str">
        <f>+Template!Q2</f>
        <v>D</v>
      </c>
      <c r="R2" s="6" t="str">
        <f>+Template!R2</f>
        <v>D</v>
      </c>
      <c r="S2" s="6" t="str">
        <f>+Template!S2</f>
        <v>D</v>
      </c>
      <c r="T2" s="6" t="str">
        <f>+Template!T2</f>
        <v>D</v>
      </c>
      <c r="U2" s="6" t="str">
        <f>+Template!U2</f>
        <v>W</v>
      </c>
      <c r="V2" s="6" t="str">
        <f>+Template!V2</f>
        <v>W</v>
      </c>
      <c r="W2" s="6" t="str">
        <f>+Template!W2</f>
        <v>W</v>
      </c>
      <c r="X2" s="6" t="str">
        <f>+Template!X2</f>
        <v>W</v>
      </c>
      <c r="Y2" s="6" t="str">
        <f>+Template!Y2</f>
        <v>M</v>
      </c>
      <c r="Z2" s="6" t="str">
        <f>+Template!Z2</f>
        <v>M</v>
      </c>
      <c r="AA2" s="6" t="str">
        <f>+Template!AA2</f>
        <v>M</v>
      </c>
      <c r="AB2" s="6" t="str">
        <f>+Template!AB2</f>
        <v>M</v>
      </c>
      <c r="AC2" s="6" t="str">
        <f>+Template!AC2</f>
        <v>Q</v>
      </c>
      <c r="AD2" s="6" t="str">
        <f>+Template!AD2</f>
        <v>Q</v>
      </c>
      <c r="AE2" s="7"/>
      <c r="AF2" s="3" t="str">
        <f>+Template!D2</f>
        <v>D</v>
      </c>
      <c r="AG2" s="4" t="str">
        <f>+Template!E2</f>
        <v>D</v>
      </c>
      <c r="AH2" s="4" t="str">
        <f>+Template!F2</f>
        <v>D</v>
      </c>
      <c r="AI2" s="4" t="str">
        <f>+Template!G2</f>
        <v>D</v>
      </c>
      <c r="AJ2" s="4" t="str">
        <f>+Template!H2</f>
        <v>D</v>
      </c>
      <c r="AK2" s="4" t="str">
        <f>+Template!I2</f>
        <v>D</v>
      </c>
      <c r="AL2" s="4" t="str">
        <f>+Template!J2</f>
        <v>D</v>
      </c>
      <c r="AM2" s="4" t="str">
        <f>+Template!K2</f>
        <v>D</v>
      </c>
      <c r="AN2" s="4" t="str">
        <f>+Template!L2</f>
        <v>D</v>
      </c>
      <c r="AO2" s="4" t="str">
        <f>+Template!M2</f>
        <v>D</v>
      </c>
      <c r="AP2" s="5" t="str">
        <f>+Template!N2</f>
        <v>D</v>
      </c>
      <c r="AQ2" s="6" t="str">
        <f>+Template!O2</f>
        <v>D</v>
      </c>
      <c r="AR2" s="6" t="str">
        <f>+Template!P2</f>
        <v>D</v>
      </c>
      <c r="AS2" s="6" t="str">
        <f>+Template!Q2</f>
        <v>D</v>
      </c>
      <c r="AT2" s="6" t="str">
        <f>+Template!R2</f>
        <v>D</v>
      </c>
      <c r="AU2" s="6" t="str">
        <f>+Template!S2</f>
        <v>D</v>
      </c>
      <c r="AV2" s="6" t="str">
        <f>+Template!T2</f>
        <v>D</v>
      </c>
      <c r="AW2" s="6" t="str">
        <f>+Template!U2</f>
        <v>W</v>
      </c>
      <c r="AX2" s="6" t="str">
        <f>+Template!V2</f>
        <v>W</v>
      </c>
      <c r="AY2" s="6" t="str">
        <f>+Template!W2</f>
        <v>W</v>
      </c>
      <c r="AZ2" s="6" t="str">
        <f>+Template!X2</f>
        <v>W</v>
      </c>
      <c r="BA2" s="6" t="str">
        <f>+Template!Y2</f>
        <v>M</v>
      </c>
      <c r="BB2" s="6" t="str">
        <f>+Template!Z2</f>
        <v>M</v>
      </c>
      <c r="BC2" s="6" t="str">
        <f>+Template!AA2</f>
        <v>M</v>
      </c>
      <c r="BD2" s="6" t="str">
        <f>+Template!AB2</f>
        <v>M</v>
      </c>
      <c r="BE2" s="6" t="str">
        <f>+Template!AC2</f>
        <v>Q</v>
      </c>
      <c r="BF2" s="6" t="str">
        <f>+Template!AD2</f>
        <v>Q</v>
      </c>
      <c r="BG2" s="7"/>
      <c r="BH2" s="3" t="str">
        <f>+Template!D2</f>
        <v>D</v>
      </c>
      <c r="BI2" s="4" t="str">
        <f>+Template!E2</f>
        <v>D</v>
      </c>
      <c r="BJ2" s="4" t="str">
        <f>+Template!F2</f>
        <v>D</v>
      </c>
      <c r="BK2" s="4" t="str">
        <f>+Template!G2</f>
        <v>D</v>
      </c>
      <c r="BL2" s="4" t="str">
        <f>+Template!H2</f>
        <v>D</v>
      </c>
      <c r="BM2" s="4" t="str">
        <f>+Template!I2</f>
        <v>D</v>
      </c>
      <c r="BN2" s="4" t="str">
        <f>+Template!J2</f>
        <v>D</v>
      </c>
      <c r="BO2" s="4" t="str">
        <f>+Template!K2</f>
        <v>D</v>
      </c>
      <c r="BP2" s="4" t="str">
        <f>+Template!L2</f>
        <v>D</v>
      </c>
      <c r="BQ2" s="4" t="str">
        <f>+Template!M2</f>
        <v>D</v>
      </c>
      <c r="BR2" s="5" t="str">
        <f>+Template!N2</f>
        <v>D</v>
      </c>
      <c r="BS2" s="6" t="str">
        <f>+Template!O2</f>
        <v>D</v>
      </c>
      <c r="BT2" s="6" t="str">
        <f>+Template!P2</f>
        <v>D</v>
      </c>
      <c r="BU2" s="6" t="str">
        <f>+Template!Q2</f>
        <v>D</v>
      </c>
      <c r="BV2" s="6" t="str">
        <f>+Template!R2</f>
        <v>D</v>
      </c>
      <c r="BW2" s="6" t="str">
        <f>+Template!S2</f>
        <v>D</v>
      </c>
      <c r="BX2" s="6" t="str">
        <f>+Template!T2</f>
        <v>D</v>
      </c>
      <c r="BY2" s="6" t="str">
        <f>+Template!U2</f>
        <v>W</v>
      </c>
      <c r="BZ2" s="6" t="str">
        <f>+Template!V2</f>
        <v>W</v>
      </c>
      <c r="CA2" s="6" t="str">
        <f>+Template!W2</f>
        <v>W</v>
      </c>
      <c r="CB2" s="6" t="str">
        <f>+Template!X2</f>
        <v>W</v>
      </c>
      <c r="CC2" s="6" t="str">
        <f>+Template!Y2</f>
        <v>M</v>
      </c>
      <c r="CD2" s="6" t="str">
        <f>+Template!Z2</f>
        <v>M</v>
      </c>
      <c r="CE2" s="6" t="str">
        <f>+Template!AA2</f>
        <v>M</v>
      </c>
      <c r="CF2" s="6" t="str">
        <f>+Template!AB2</f>
        <v>M</v>
      </c>
      <c r="CG2" s="6" t="str">
        <f>+Template!AC2</f>
        <v>Q</v>
      </c>
      <c r="CH2" s="6" t="str">
        <f>+Template!AD2</f>
        <v>Q</v>
      </c>
      <c r="CI2" s="7"/>
      <c r="CJ2" s="3" t="str">
        <f>+Template!D2</f>
        <v>D</v>
      </c>
      <c r="CK2" s="4" t="str">
        <f>+Template!E2</f>
        <v>D</v>
      </c>
      <c r="CL2" s="4" t="str">
        <f>+Template!F2</f>
        <v>D</v>
      </c>
      <c r="CM2" s="4" t="str">
        <f>+Template!G2</f>
        <v>D</v>
      </c>
      <c r="CN2" s="4" t="str">
        <f>+Template!H2</f>
        <v>D</v>
      </c>
      <c r="CO2" s="5" t="str">
        <f>+Template!I2</f>
        <v>D</v>
      </c>
      <c r="CP2" s="5" t="str">
        <f>+Template!J2</f>
        <v>D</v>
      </c>
      <c r="CQ2" s="5" t="str">
        <f>+Template!K2</f>
        <v>D</v>
      </c>
      <c r="CR2" s="5" t="str">
        <f>+Template!L2</f>
        <v>D</v>
      </c>
      <c r="CS2" s="5" t="str">
        <f>+Template!M2</f>
        <v>D</v>
      </c>
      <c r="CT2" s="5" t="str">
        <f>+Template!N2</f>
        <v>D</v>
      </c>
      <c r="CU2" s="6" t="str">
        <f>+Template!O2</f>
        <v>D</v>
      </c>
      <c r="CV2" s="6" t="str">
        <f>+Template!P2</f>
        <v>D</v>
      </c>
      <c r="CW2" s="6" t="str">
        <f>+Template!Q2</f>
        <v>D</v>
      </c>
      <c r="CX2" s="6" t="str">
        <f>+Template!R2</f>
        <v>D</v>
      </c>
      <c r="CY2" s="6" t="str">
        <f>+Template!S2</f>
        <v>D</v>
      </c>
      <c r="CZ2" s="6" t="str">
        <f>+Template!T2</f>
        <v>D</v>
      </c>
      <c r="DA2" s="6" t="str">
        <f>+Template!U2</f>
        <v>W</v>
      </c>
      <c r="DB2" s="6" t="str">
        <f>+Template!V2</f>
        <v>W</v>
      </c>
      <c r="DC2" s="6" t="str">
        <f>+Template!W2</f>
        <v>W</v>
      </c>
      <c r="DD2" s="6" t="str">
        <f>+Template!X2</f>
        <v>W</v>
      </c>
      <c r="DE2" s="6" t="str">
        <f>+Template!Y2</f>
        <v>M</v>
      </c>
      <c r="DF2" s="6" t="str">
        <f>+Template!Z2</f>
        <v>M</v>
      </c>
      <c r="DG2" s="6" t="str">
        <f>+Template!AA2</f>
        <v>M</v>
      </c>
      <c r="DH2" s="6" t="str">
        <f>+Template!AB2</f>
        <v>M</v>
      </c>
      <c r="DI2" s="6" t="str">
        <f>+Template!AC2</f>
        <v>Q</v>
      </c>
      <c r="DJ2" s="6" t="str">
        <f>+Template!AD2</f>
        <v>Q</v>
      </c>
      <c r="DK2" s="7"/>
    </row>
    <row r="3" spans="1:129" ht="149.25" x14ac:dyDescent="0.35">
      <c r="B3">
        <f>VLOOKUP(C3,Data!E2:F13,2,FALSE)</f>
        <v>12</v>
      </c>
      <c r="C3" s="61" t="s">
        <v>12</v>
      </c>
      <c r="D3" s="45" t="str">
        <f>+Template!D3</f>
        <v>Quick environment check</v>
      </c>
      <c r="E3" s="9" t="str">
        <f>+Template!E3</f>
        <v>Health Analyzer Issues</v>
      </c>
      <c r="F3" s="9" t="str">
        <f>+Template!F3</f>
        <v>Content Database Status</v>
      </c>
      <c r="G3" s="9" t="str">
        <f>+Template!G3</f>
        <v>Upgrade Status Servers</v>
      </c>
      <c r="H3" s="9" t="str">
        <f>+Template!H3</f>
        <v>Upgrade Status Databases</v>
      </c>
      <c r="I3" s="9" t="str">
        <f>+Template!I3</f>
        <v>Failed Timer Jobs</v>
      </c>
      <c r="J3" s="9" t="str">
        <f>+Template!J3</f>
        <v>Deployment Status Solutions</v>
      </c>
      <c r="K3" s="9" t="str">
        <f>+Template!K3</f>
        <v>Content Database Size</v>
      </c>
      <c r="L3" s="9" t="str">
        <f>+Template!L3</f>
        <v>Service Application Status</v>
      </c>
      <c r="M3" s="9" t="str">
        <f>+Template!M3</f>
        <v>Search Topology</v>
      </c>
      <c r="N3" s="9" t="str">
        <f>+Template!N3</f>
        <v>Search Gatherer Logs</v>
      </c>
      <c r="O3" s="9" t="str">
        <f>+Template!O3</f>
        <v>Last Boot Time</v>
      </c>
      <c r="P3" s="9" t="str">
        <f>+Template!P3</f>
        <v>Running Services Check</v>
      </c>
      <c r="Q3" s="9" t="str">
        <f>+Template!Q3</f>
        <v>Scheduled Tasks</v>
      </c>
      <c r="R3" s="9" t="str">
        <f>+Template!R3</f>
        <v>Running websites en application pools</v>
      </c>
      <c r="S3" s="9" t="str">
        <f>+Template!S3</f>
        <v>Group Membership Check</v>
      </c>
      <c r="T3" s="9" t="str">
        <f>+Template!T3</f>
        <v>Backup Status</v>
      </c>
      <c r="U3" s="9" t="str">
        <f>+Template!U3</f>
        <v>Permissions Check</v>
      </c>
      <c r="V3" s="9" t="str">
        <f>+Template!V3</f>
        <v>New Updates</v>
      </c>
      <c r="W3" s="9" t="str">
        <f>+Template!W3</f>
        <v>Baseline Settings</v>
      </c>
      <c r="X3" s="9" t="str">
        <f>+Template!X3</f>
        <v>Access Check</v>
      </c>
      <c r="Y3" s="9" t="str">
        <f>+Template!Y3</f>
        <v>Missing Security Updates/Service Packs</v>
      </c>
      <c r="Z3" s="9" t="str">
        <f>+Template!Z3</f>
        <v>Policy Compliance</v>
      </c>
      <c r="AA3" s="9" t="str">
        <f>+Template!AA3</f>
        <v>Documentation Check</v>
      </c>
      <c r="AB3" s="9" t="str">
        <f>+Template!AB3</f>
        <v>SSL Certificates Check</v>
      </c>
      <c r="AC3" s="9" t="str">
        <f>+Template!AC3</f>
        <v>Disaster Recovery Test</v>
      </c>
      <c r="AD3" s="9" t="str">
        <f>+Template!AD3</f>
        <v>Lifecycle Check</v>
      </c>
      <c r="AE3" s="113" t="str">
        <f>+Template!AE3</f>
        <v>Performed by:</v>
      </c>
      <c r="AF3" s="45" t="str">
        <f>+Template!D3</f>
        <v>Quick environment check</v>
      </c>
      <c r="AG3" s="9" t="str">
        <f>+Template!E3</f>
        <v>Health Analyzer Issues</v>
      </c>
      <c r="AH3" s="9" t="str">
        <f>+Template!F3</f>
        <v>Content Database Status</v>
      </c>
      <c r="AI3" s="9" t="str">
        <f>+Template!G3</f>
        <v>Upgrade Status Servers</v>
      </c>
      <c r="AJ3" s="9" t="str">
        <f>+Template!H3</f>
        <v>Upgrade Status Databases</v>
      </c>
      <c r="AK3" s="9" t="str">
        <f>+Template!I3</f>
        <v>Failed Timer Jobs</v>
      </c>
      <c r="AL3" s="9" t="str">
        <f>+Template!J3</f>
        <v>Deployment Status Solutions</v>
      </c>
      <c r="AM3" s="9" t="str">
        <f>+Template!K3</f>
        <v>Content Database Size</v>
      </c>
      <c r="AN3" s="9" t="str">
        <f>+Template!L3</f>
        <v>Service Application Status</v>
      </c>
      <c r="AO3" s="9" t="str">
        <f>+Template!M3</f>
        <v>Search Topology</v>
      </c>
      <c r="AP3" s="9" t="str">
        <f>+Template!N3</f>
        <v>Search Gatherer Logs</v>
      </c>
      <c r="AQ3" s="9" t="str">
        <f>+Template!O3</f>
        <v>Last Boot Time</v>
      </c>
      <c r="AR3" s="9" t="str">
        <f>+Template!P3</f>
        <v>Running Services Check</v>
      </c>
      <c r="AS3" s="9" t="str">
        <f>+Template!Q3</f>
        <v>Scheduled Tasks</v>
      </c>
      <c r="AT3" s="9" t="str">
        <f>+Template!R3</f>
        <v>Running websites en application pools</v>
      </c>
      <c r="AU3" s="9" t="str">
        <f>+Template!S3</f>
        <v>Group Membership Check</v>
      </c>
      <c r="AV3" s="9" t="str">
        <f>+Template!T3</f>
        <v>Backup Status</v>
      </c>
      <c r="AW3" s="9" t="str">
        <f>+Template!U3</f>
        <v>Permissions Check</v>
      </c>
      <c r="AX3" s="9" t="str">
        <f>+Template!V3</f>
        <v>New Updates</v>
      </c>
      <c r="AY3" s="9" t="str">
        <f>+Template!W3</f>
        <v>Baseline Settings</v>
      </c>
      <c r="AZ3" s="9" t="str">
        <f>+Template!X3</f>
        <v>Access Check</v>
      </c>
      <c r="BA3" s="9" t="str">
        <f>+Template!Y3</f>
        <v>Missing Security Updates/Service Packs</v>
      </c>
      <c r="BB3" s="9" t="str">
        <f>+Template!Z3</f>
        <v>Policy Compliance</v>
      </c>
      <c r="BC3" s="9" t="str">
        <f>+Template!AA3</f>
        <v>Documentation Check</v>
      </c>
      <c r="BD3" s="9" t="str">
        <f>+Template!AB3</f>
        <v>SSL Certificates Check</v>
      </c>
      <c r="BE3" s="9" t="str">
        <f>+Template!AC3</f>
        <v>Disaster Recovery Test</v>
      </c>
      <c r="BF3" s="9" t="str">
        <f>+Template!AD3</f>
        <v>Lifecycle Check</v>
      </c>
      <c r="BG3" s="113" t="str">
        <f>+Template!AE3</f>
        <v>Performed by:</v>
      </c>
      <c r="BH3" s="45" t="str">
        <f>+Template!D3</f>
        <v>Quick environment check</v>
      </c>
      <c r="BI3" s="9" t="str">
        <f>+Template!E3</f>
        <v>Health Analyzer Issues</v>
      </c>
      <c r="BJ3" s="9" t="str">
        <f>+Template!F3</f>
        <v>Content Database Status</v>
      </c>
      <c r="BK3" s="9" t="str">
        <f>+Template!G3</f>
        <v>Upgrade Status Servers</v>
      </c>
      <c r="BL3" s="9" t="str">
        <f>+Template!H3</f>
        <v>Upgrade Status Databases</v>
      </c>
      <c r="BM3" s="9" t="str">
        <f>+Template!I3</f>
        <v>Failed Timer Jobs</v>
      </c>
      <c r="BN3" s="9" t="str">
        <f>+Template!J3</f>
        <v>Deployment Status Solutions</v>
      </c>
      <c r="BO3" s="9" t="str">
        <f>+Template!K3</f>
        <v>Content Database Size</v>
      </c>
      <c r="BP3" s="9" t="str">
        <f>+Template!L3</f>
        <v>Service Application Status</v>
      </c>
      <c r="BQ3" s="9" t="str">
        <f>+Template!M3</f>
        <v>Search Topology</v>
      </c>
      <c r="BR3" s="9" t="str">
        <f>+Template!N3</f>
        <v>Search Gatherer Logs</v>
      </c>
      <c r="BS3" s="9" t="str">
        <f>+Template!O3</f>
        <v>Last Boot Time</v>
      </c>
      <c r="BT3" s="9" t="str">
        <f>+Template!P3</f>
        <v>Running Services Check</v>
      </c>
      <c r="BU3" s="9" t="str">
        <f>+Template!Q3</f>
        <v>Scheduled Tasks</v>
      </c>
      <c r="BV3" s="9" t="str">
        <f>+Template!R3</f>
        <v>Running websites en application pools</v>
      </c>
      <c r="BW3" s="9" t="str">
        <f>+Template!S3</f>
        <v>Group Membership Check</v>
      </c>
      <c r="BX3" s="9" t="str">
        <f>+Template!T3</f>
        <v>Backup Status</v>
      </c>
      <c r="BY3" s="9" t="str">
        <f>+Template!U3</f>
        <v>Permissions Check</v>
      </c>
      <c r="BZ3" s="9" t="str">
        <f>+Template!V3</f>
        <v>New Updates</v>
      </c>
      <c r="CA3" s="9" t="str">
        <f>+Template!W3</f>
        <v>Baseline Settings</v>
      </c>
      <c r="CB3" s="9" t="str">
        <f>+Template!X3</f>
        <v>Access Check</v>
      </c>
      <c r="CC3" s="9" t="str">
        <f>+Template!Y3</f>
        <v>Missing Security Updates/Service Packs</v>
      </c>
      <c r="CD3" s="9" t="str">
        <f>+Template!Z3</f>
        <v>Policy Compliance</v>
      </c>
      <c r="CE3" s="9" t="str">
        <f>+Template!AA3</f>
        <v>Documentation Check</v>
      </c>
      <c r="CF3" s="9" t="str">
        <f>+Template!AB3</f>
        <v>SSL Certificates Check</v>
      </c>
      <c r="CG3" s="9" t="str">
        <f>+Template!AC3</f>
        <v>Disaster Recovery Test</v>
      </c>
      <c r="CH3" s="9" t="str">
        <f>+Template!AD3</f>
        <v>Lifecycle Check</v>
      </c>
      <c r="CI3" s="113" t="str">
        <f>+Template!AE3</f>
        <v>Performed by:</v>
      </c>
      <c r="CJ3" s="45" t="str">
        <f>+Template!D3</f>
        <v>Quick environment check</v>
      </c>
      <c r="CK3" s="9" t="str">
        <f>+Template!E3</f>
        <v>Health Analyzer Issues</v>
      </c>
      <c r="CL3" s="9" t="str">
        <f>+Template!F3</f>
        <v>Content Database Status</v>
      </c>
      <c r="CM3" s="9" t="str">
        <f>+Template!G3</f>
        <v>Upgrade Status Servers</v>
      </c>
      <c r="CN3" s="9" t="str">
        <f>+Template!H3</f>
        <v>Upgrade Status Databases</v>
      </c>
      <c r="CO3" s="9" t="str">
        <f>+Template!I3</f>
        <v>Failed Timer Jobs</v>
      </c>
      <c r="CP3" s="9" t="str">
        <f>+Template!J3</f>
        <v>Deployment Status Solutions</v>
      </c>
      <c r="CQ3" s="9" t="str">
        <f>+Template!K3</f>
        <v>Content Database Size</v>
      </c>
      <c r="CR3" s="9" t="str">
        <f>+Template!L3</f>
        <v>Service Application Status</v>
      </c>
      <c r="CS3" s="9" t="str">
        <f>+Template!M3</f>
        <v>Search Topology</v>
      </c>
      <c r="CT3" s="9" t="str">
        <f>+Template!N3</f>
        <v>Search Gatherer Logs</v>
      </c>
      <c r="CU3" s="9" t="str">
        <f>+Template!O3</f>
        <v>Last Boot Time</v>
      </c>
      <c r="CV3" s="9" t="str">
        <f>+Template!P3</f>
        <v>Running Services Check</v>
      </c>
      <c r="CW3" s="9" t="str">
        <f>+Template!Q3</f>
        <v>Scheduled Tasks</v>
      </c>
      <c r="CX3" s="9" t="str">
        <f>+Template!R3</f>
        <v>Running websites en application pools</v>
      </c>
      <c r="CY3" s="9" t="str">
        <f>+Template!S3</f>
        <v>Group Membership Check</v>
      </c>
      <c r="CZ3" s="9" t="str">
        <f>+Template!T3</f>
        <v>Backup Status</v>
      </c>
      <c r="DA3" s="9" t="str">
        <f>+Template!U3</f>
        <v>Permissions Check</v>
      </c>
      <c r="DB3" s="9" t="str">
        <f>+Template!V3</f>
        <v>New Updates</v>
      </c>
      <c r="DC3" s="9" t="str">
        <f>+Template!W3</f>
        <v>Baseline Settings</v>
      </c>
      <c r="DD3" s="9" t="str">
        <f>+Template!X3</f>
        <v>Access Check</v>
      </c>
      <c r="DE3" s="9" t="str">
        <f>+Template!Y3</f>
        <v>Missing Security Updates/Service Packs</v>
      </c>
      <c r="DF3" s="9" t="str">
        <f>+Template!Z3</f>
        <v>Policy Compliance</v>
      </c>
      <c r="DG3" s="9" t="str">
        <f>+Template!AA3</f>
        <v>Documentation Check</v>
      </c>
      <c r="DH3" s="9" t="str">
        <f>+Template!AB3</f>
        <v>SSL Certificates Check</v>
      </c>
      <c r="DI3" s="9" t="str">
        <f>+Template!AC3</f>
        <v>Disaster Recovery Test</v>
      </c>
      <c r="DJ3" s="9" t="str">
        <f>+Template!AD3</f>
        <v>Lifecycle Check</v>
      </c>
      <c r="DK3" s="113" t="str">
        <f>+Template!AE3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f>+Template!D4</f>
        <v>1</v>
      </c>
      <c r="E4" s="9">
        <f>+Template!E4</f>
        <v>10</v>
      </c>
      <c r="F4" s="9">
        <f>+Template!F4</f>
        <v>11</v>
      </c>
      <c r="G4" s="9">
        <f>+Template!G4</f>
        <v>12</v>
      </c>
      <c r="H4" s="9">
        <f>+Template!H4</f>
        <v>13</v>
      </c>
      <c r="I4" s="9">
        <f>+Template!I4</f>
        <v>14</v>
      </c>
      <c r="J4" s="9">
        <f>+Template!J4</f>
        <v>15</v>
      </c>
      <c r="K4" s="9">
        <f>+Template!K4</f>
        <v>16</v>
      </c>
      <c r="L4" s="9">
        <f>+Template!L4</f>
        <v>17</v>
      </c>
      <c r="M4" s="9">
        <f>+Template!M4</f>
        <v>20</v>
      </c>
      <c r="N4" s="9">
        <f>+Template!N4</f>
        <v>21</v>
      </c>
      <c r="O4" s="9">
        <f>+Template!O4</f>
        <v>30</v>
      </c>
      <c r="P4" s="9">
        <f>+Template!P4</f>
        <v>31</v>
      </c>
      <c r="Q4" s="9">
        <f>+Template!Q4</f>
        <v>32</v>
      </c>
      <c r="R4" s="9">
        <f>+Template!R4</f>
        <v>33</v>
      </c>
      <c r="S4" s="9">
        <f>+Template!S4</f>
        <v>34</v>
      </c>
      <c r="T4" s="9">
        <f>+Template!T4</f>
        <v>40</v>
      </c>
      <c r="U4" s="9" t="str">
        <f>+Template!U4</f>
        <v>W01</v>
      </c>
      <c r="V4" s="9" t="str">
        <f>+Template!V4</f>
        <v>W02</v>
      </c>
      <c r="W4" s="9" t="str">
        <f>+Template!W4</f>
        <v>W03</v>
      </c>
      <c r="X4" s="9" t="str">
        <f>+Template!X4</f>
        <v>W04</v>
      </c>
      <c r="Y4" s="9" t="str">
        <f>+Template!Y4</f>
        <v>M01</v>
      </c>
      <c r="Z4" s="9" t="str">
        <f>+Template!Z4</f>
        <v>M02</v>
      </c>
      <c r="AA4" s="9" t="str">
        <f>+Template!AA4</f>
        <v>M03</v>
      </c>
      <c r="AB4" s="9" t="str">
        <f>+Template!AB4</f>
        <v>M04</v>
      </c>
      <c r="AC4" s="9" t="str">
        <f>+Template!AC4</f>
        <v>Q01</v>
      </c>
      <c r="AD4" s="9" t="str">
        <f>+Template!AD4</f>
        <v>Q02</v>
      </c>
      <c r="AE4" s="114"/>
      <c r="AF4" s="45">
        <f>+Template!D4</f>
        <v>1</v>
      </c>
      <c r="AG4" s="9">
        <f>+Template!E4</f>
        <v>10</v>
      </c>
      <c r="AH4" s="9">
        <f>+Template!F4</f>
        <v>11</v>
      </c>
      <c r="AI4" s="9">
        <f>+Template!G4</f>
        <v>12</v>
      </c>
      <c r="AJ4" s="9">
        <f>+Template!H4</f>
        <v>13</v>
      </c>
      <c r="AK4" s="9">
        <f>+Template!I4</f>
        <v>14</v>
      </c>
      <c r="AL4" s="9">
        <f>+Template!J4</f>
        <v>15</v>
      </c>
      <c r="AM4" s="9">
        <f>+Template!K4</f>
        <v>16</v>
      </c>
      <c r="AN4" s="9">
        <f>+Template!L4</f>
        <v>17</v>
      </c>
      <c r="AO4" s="9">
        <f>+Template!M4</f>
        <v>20</v>
      </c>
      <c r="AP4" s="9">
        <f>+Template!N4</f>
        <v>21</v>
      </c>
      <c r="AQ4" s="9">
        <f>+Template!O4</f>
        <v>30</v>
      </c>
      <c r="AR4" s="9">
        <f>+Template!P4</f>
        <v>31</v>
      </c>
      <c r="AS4" s="9">
        <f>+Template!Q4</f>
        <v>32</v>
      </c>
      <c r="AT4" s="9">
        <f>+Template!R4</f>
        <v>33</v>
      </c>
      <c r="AU4" s="9">
        <f>+Template!S4</f>
        <v>34</v>
      </c>
      <c r="AV4" s="9">
        <f>+Template!T4</f>
        <v>40</v>
      </c>
      <c r="AW4" s="9" t="str">
        <f>+Template!U4</f>
        <v>W01</v>
      </c>
      <c r="AX4" s="9" t="str">
        <f>+Template!V4</f>
        <v>W02</v>
      </c>
      <c r="AY4" s="9" t="str">
        <f>+Template!W4</f>
        <v>W03</v>
      </c>
      <c r="AZ4" s="9" t="str">
        <f>+Template!X4</f>
        <v>W04</v>
      </c>
      <c r="BA4" s="9" t="str">
        <f>+Template!Y4</f>
        <v>M01</v>
      </c>
      <c r="BB4" s="9" t="str">
        <f>+Template!Z4</f>
        <v>M02</v>
      </c>
      <c r="BC4" s="9" t="str">
        <f>+Template!AA4</f>
        <v>M03</v>
      </c>
      <c r="BD4" s="9" t="str">
        <f>+Template!AB4</f>
        <v>M04</v>
      </c>
      <c r="BE4" s="9" t="str">
        <f>+Template!AC4</f>
        <v>Q01</v>
      </c>
      <c r="BF4" s="9" t="str">
        <f>+Template!AD4</f>
        <v>Q02</v>
      </c>
      <c r="BG4" s="114"/>
      <c r="BH4" s="45">
        <f>+Template!D4</f>
        <v>1</v>
      </c>
      <c r="BI4" s="9">
        <f>+Template!E4</f>
        <v>10</v>
      </c>
      <c r="BJ4" s="9">
        <f>+Template!F4</f>
        <v>11</v>
      </c>
      <c r="BK4" s="9">
        <f>+Template!G4</f>
        <v>12</v>
      </c>
      <c r="BL4" s="9">
        <f>+Template!H4</f>
        <v>13</v>
      </c>
      <c r="BM4" s="9">
        <f>+Template!I4</f>
        <v>14</v>
      </c>
      <c r="BN4" s="9">
        <f>+Template!J4</f>
        <v>15</v>
      </c>
      <c r="BO4" s="9">
        <f>+Template!K4</f>
        <v>16</v>
      </c>
      <c r="BP4" s="9">
        <f>+Template!L4</f>
        <v>17</v>
      </c>
      <c r="BQ4" s="9">
        <f>+Template!M4</f>
        <v>20</v>
      </c>
      <c r="BR4" s="9">
        <f>+Template!N4</f>
        <v>21</v>
      </c>
      <c r="BS4" s="9">
        <f>+Template!O4</f>
        <v>30</v>
      </c>
      <c r="BT4" s="9">
        <f>+Template!P4</f>
        <v>31</v>
      </c>
      <c r="BU4" s="9">
        <f>+Template!Q4</f>
        <v>32</v>
      </c>
      <c r="BV4" s="9">
        <f>+Template!R4</f>
        <v>33</v>
      </c>
      <c r="BW4" s="9">
        <f>+Template!S4</f>
        <v>34</v>
      </c>
      <c r="BX4" s="9">
        <f>+Template!T4</f>
        <v>40</v>
      </c>
      <c r="BY4" s="9" t="str">
        <f>+Template!U4</f>
        <v>W01</v>
      </c>
      <c r="BZ4" s="9" t="str">
        <f>+Template!V4</f>
        <v>W02</v>
      </c>
      <c r="CA4" s="9" t="str">
        <f>+Template!W4</f>
        <v>W03</v>
      </c>
      <c r="CB4" s="9" t="str">
        <f>+Template!X4</f>
        <v>W04</v>
      </c>
      <c r="CC4" s="9" t="str">
        <f>+Template!Y4</f>
        <v>M01</v>
      </c>
      <c r="CD4" s="9" t="str">
        <f>+Template!Z4</f>
        <v>M02</v>
      </c>
      <c r="CE4" s="9" t="str">
        <f>+Template!AA4</f>
        <v>M03</v>
      </c>
      <c r="CF4" s="9" t="str">
        <f>+Template!AB4</f>
        <v>M04</v>
      </c>
      <c r="CG4" s="9" t="str">
        <f>+Template!AC4</f>
        <v>Q01</v>
      </c>
      <c r="CH4" s="9" t="str">
        <f>+Template!AD4</f>
        <v>Q02</v>
      </c>
      <c r="CI4" s="114"/>
      <c r="CJ4" s="45">
        <f>+Template!D4</f>
        <v>1</v>
      </c>
      <c r="CK4" s="9">
        <f>+Template!E4</f>
        <v>10</v>
      </c>
      <c r="CL4" s="9">
        <f>+Template!F4</f>
        <v>11</v>
      </c>
      <c r="CM4" s="9">
        <f>+Template!G4</f>
        <v>12</v>
      </c>
      <c r="CN4" s="9">
        <f>+Template!H4</f>
        <v>13</v>
      </c>
      <c r="CO4" s="9">
        <f>+Template!I4</f>
        <v>14</v>
      </c>
      <c r="CP4" s="9">
        <f>+Template!J4</f>
        <v>15</v>
      </c>
      <c r="CQ4" s="9">
        <f>+Template!K4</f>
        <v>16</v>
      </c>
      <c r="CR4" s="9">
        <f>+Template!L4</f>
        <v>17</v>
      </c>
      <c r="CS4" s="9">
        <f>+Template!M4</f>
        <v>20</v>
      </c>
      <c r="CT4" s="9">
        <f>+Template!N4</f>
        <v>21</v>
      </c>
      <c r="CU4" s="9">
        <f>+Template!O4</f>
        <v>30</v>
      </c>
      <c r="CV4" s="9">
        <f>+Template!P4</f>
        <v>31</v>
      </c>
      <c r="CW4" s="9">
        <f>+Template!Q4</f>
        <v>32</v>
      </c>
      <c r="CX4" s="9">
        <f>+Template!R4</f>
        <v>33</v>
      </c>
      <c r="CY4" s="9">
        <f>+Template!S4</f>
        <v>34</v>
      </c>
      <c r="CZ4" s="9">
        <f>+Template!T4</f>
        <v>40</v>
      </c>
      <c r="DA4" s="9" t="str">
        <f>+Template!U4</f>
        <v>W01</v>
      </c>
      <c r="DB4" s="9" t="str">
        <f>+Template!V4</f>
        <v>W02</v>
      </c>
      <c r="DC4" s="9" t="str">
        <f>+Template!W4</f>
        <v>W03</v>
      </c>
      <c r="DD4" s="9" t="str">
        <f>+Template!X4</f>
        <v>W04</v>
      </c>
      <c r="DE4" s="9" t="str">
        <f>+Template!Y4</f>
        <v>M01</v>
      </c>
      <c r="DF4" s="9" t="str">
        <f>+Template!Z4</f>
        <v>M02</v>
      </c>
      <c r="DG4" s="9" t="str">
        <f>+Template!AA4</f>
        <v>M03</v>
      </c>
      <c r="DH4" s="9" t="str">
        <f>+Template!AB4</f>
        <v>M04</v>
      </c>
      <c r="DI4" s="9" t="str">
        <f>+Template!AC4</f>
        <v>Q01</v>
      </c>
      <c r="DJ4" s="9" t="str">
        <f>+Template!AD4</f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6</v>
      </c>
      <c r="B5">
        <v>1</v>
      </c>
      <c r="C5" s="130">
        <f>DATE(Jaartal,December!$B$3,December!$B5)</f>
        <v>43070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1"/>
      <c r="CS5" s="51"/>
      <c r="CT5" s="51"/>
      <c r="CU5" s="51"/>
      <c r="CV5" s="51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0">WEEKDAY(C6)</f>
        <v>7</v>
      </c>
      <c r="B6">
        <v>2</v>
      </c>
      <c r="C6" s="130">
        <f>DATE(Jaartal,December!$B$3,December!$B6)</f>
        <v>43071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0"/>
        <v>1</v>
      </c>
      <c r="B7">
        <v>3</v>
      </c>
      <c r="C7" s="130">
        <f>DATE(Jaartal,December!$B$3,December!$B7)</f>
        <v>43072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0"/>
        <v>2</v>
      </c>
      <c r="B8">
        <v>4</v>
      </c>
      <c r="C8" s="130">
        <f>DATE(Jaartal,December!$B$3,December!$B8)</f>
        <v>43073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0"/>
        <v>3</v>
      </c>
      <c r="B9">
        <v>5</v>
      </c>
      <c r="C9" s="130">
        <f>DATE(Jaartal,December!$B$3,December!$B9)</f>
        <v>43074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0"/>
        <v>4</v>
      </c>
      <c r="B10">
        <v>6</v>
      </c>
      <c r="C10" s="130">
        <f>DATE(Jaartal,December!$B$3,December!$B10)</f>
        <v>43075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0"/>
        <v>5</v>
      </c>
      <c r="B11">
        <v>7</v>
      </c>
      <c r="C11" s="130">
        <f>DATE(Jaartal,December!$B$3,December!$B11)</f>
        <v>43076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0"/>
        <v>6</v>
      </c>
      <c r="B12">
        <v>8</v>
      </c>
      <c r="C12" s="130">
        <f>DATE(Jaartal,December!$B$3,December!$B12)</f>
        <v>43077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0"/>
        <v>7</v>
      </c>
      <c r="B13">
        <v>9</v>
      </c>
      <c r="C13" s="130">
        <f>DATE(Jaartal,December!$B$3,December!$B13)</f>
        <v>43078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0"/>
        <v>1</v>
      </c>
      <c r="B14">
        <v>10</v>
      </c>
      <c r="C14" s="130">
        <f>DATE(Jaartal,December!$B$3,December!$B14)</f>
        <v>43079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0"/>
        <v>2</v>
      </c>
      <c r="B15">
        <v>11</v>
      </c>
      <c r="C15" s="130">
        <f>DATE(Jaartal,December!$B$3,December!$B15)</f>
        <v>43080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0"/>
        <v>3</v>
      </c>
      <c r="B16">
        <v>12</v>
      </c>
      <c r="C16" s="130">
        <f>DATE(Jaartal,December!$B$3,December!$B16)</f>
        <v>43081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0"/>
        <v>4</v>
      </c>
      <c r="B17">
        <v>13</v>
      </c>
      <c r="C17" s="130">
        <f>DATE(Jaartal,December!$B$3,December!$B17)</f>
        <v>43082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0"/>
        <v>5</v>
      </c>
      <c r="B18">
        <v>14</v>
      </c>
      <c r="C18" s="130">
        <f>DATE(Jaartal,December!$B$3,December!$B18)</f>
        <v>43083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0"/>
        <v>6</v>
      </c>
      <c r="B19">
        <v>15</v>
      </c>
      <c r="C19" s="130">
        <f>DATE(Jaartal,December!$B$3,December!$B19)</f>
        <v>43084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0"/>
        <v>7</v>
      </c>
      <c r="B20">
        <v>16</v>
      </c>
      <c r="C20" s="130">
        <f>DATE(Jaartal,December!$B$3,December!$B20)</f>
        <v>43085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0"/>
        <v>1</v>
      </c>
      <c r="B21">
        <v>17</v>
      </c>
      <c r="C21" s="130">
        <f>DATE(Jaartal,December!$B$3,December!$B21)</f>
        <v>43086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0"/>
        <v>2</v>
      </c>
      <c r="B22">
        <v>18</v>
      </c>
      <c r="C22" s="130">
        <f>DATE(Jaartal,December!$B$3,December!$B22)</f>
        <v>43087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0"/>
        <v>3</v>
      </c>
      <c r="B23">
        <v>19</v>
      </c>
      <c r="C23" s="130">
        <f>DATE(Jaartal,December!$B$3,December!$B23)</f>
        <v>43088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0"/>
        <v>4</v>
      </c>
      <c r="B24">
        <v>20</v>
      </c>
      <c r="C24" s="130">
        <f>DATE(Jaartal,December!$B$3,December!$B24)</f>
        <v>43089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0"/>
        <v>5</v>
      </c>
      <c r="B25">
        <v>21</v>
      </c>
      <c r="C25" s="130">
        <f>DATE(Jaartal,December!$B$3,December!$B25)</f>
        <v>43090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0"/>
        <v>6</v>
      </c>
      <c r="B26">
        <v>22</v>
      </c>
      <c r="C26" s="130">
        <f>DATE(Jaartal,December!$B$3,December!$B26)</f>
        <v>43091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0"/>
        <v>7</v>
      </c>
      <c r="B27">
        <v>23</v>
      </c>
      <c r="C27" s="130">
        <f>DATE(Jaartal,December!$B$3,December!$B27)</f>
        <v>43092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0"/>
        <v>1</v>
      </c>
      <c r="B28">
        <v>24</v>
      </c>
      <c r="C28" s="130">
        <f>DATE(Jaartal,December!$B$3,December!$B28)</f>
        <v>43093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0"/>
        <v>2</v>
      </c>
      <c r="B29">
        <v>25</v>
      </c>
      <c r="C29" s="130">
        <f>DATE(Jaartal,December!$B$3,December!$B29)</f>
        <v>43094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0"/>
        <v>3</v>
      </c>
      <c r="B30">
        <v>26</v>
      </c>
      <c r="C30" s="130">
        <f>DATE(Jaartal,December!$B$3,December!$B30)</f>
        <v>43095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0"/>
        <v>4</v>
      </c>
      <c r="B31">
        <v>27</v>
      </c>
      <c r="C31" s="130">
        <f>DATE(Jaartal,December!$B$3,December!$B31)</f>
        <v>43096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0"/>
        <v>5</v>
      </c>
      <c r="B32">
        <v>28</v>
      </c>
      <c r="C32" s="130">
        <f>DATE(Jaartal,December!$B$3,December!$B32)</f>
        <v>43097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0"/>
        <v>6</v>
      </c>
      <c r="B33">
        <v>29</v>
      </c>
      <c r="C33" s="130">
        <f>DATE(Jaartal,December!$B$3,December!$B33)</f>
        <v>43098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0"/>
        <v>7</v>
      </c>
      <c r="B34">
        <v>30</v>
      </c>
      <c r="C34" s="130">
        <f>DATE(Jaartal,December!$B$3,December!$B34)</f>
        <v>43099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0"/>
        <v>1</v>
      </c>
      <c r="B35">
        <v>31</v>
      </c>
      <c r="C35" s="130">
        <f>DATE(Jaartal,December!$B$3,December!$B35)</f>
        <v>43100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131" t="s">
        <v>79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131" t="s">
        <v>66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132" t="s">
        <v>80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heet="1" objects="1" scenarios="1"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23" priority="1" stopIfTrue="1">
      <formula>D5=3</formula>
    </cfRule>
    <cfRule type="expression" dxfId="22" priority="2" stopIfTrue="1">
      <formula>D5=2</formula>
    </cfRule>
    <cfRule type="expression" dxfId="21" priority="3" stopIfTrue="1">
      <formula>D5=1</formula>
    </cfRule>
    <cfRule type="expression" dxfId="20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AF5:BF35 BH5:CH35 CJ5:DJ35 D5:AD35" xr:uid="{43EA52B3-B9AB-4F9B-9C5E-2A3F4B473062}">
      <formula1>Status</formula1>
    </dataValidation>
    <dataValidation type="list" allowBlank="1" showInputMessage="1" showErrorMessage="1" sqref="C3" xr:uid="{C7291B5B-4709-4769-BE11-B1FB791565F2}">
      <formula1>List_Maanden</formula1>
    </dataValidation>
    <dataValidation type="list" allowBlank="1" showInputMessage="1" showErrorMessage="1" sqref="DK5:DK35 CI5:CI35 BG5:BG35 AE5:AE35" xr:uid="{2D394669-4763-4E15-A225-9F6307D2D512}">
      <formula1>List_Personen</formula1>
    </dataValidation>
    <dataValidation type="list" allowBlank="1" showInputMessage="1" showErrorMessage="1" sqref="D2:AD2" xr:uid="{2DDA5168-DF8A-47CB-B1E3-D1CA74482B7F}">
      <formula1>"D,W,M,Q"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DY56"/>
  <sheetViews>
    <sheetView zoomScaleNormal="100" workbookViewId="0">
      <pane xSplit="3" ySplit="4" topLeftCell="D5" activePane="bottomRight" state="frozen"/>
      <selection activeCell="BU3" sqref="BU3:CP3"/>
      <selection pane="topRight" activeCell="BU3" sqref="BU3:CP3"/>
      <selection pane="bottomLeft" activeCell="BU3" sqref="BU3:CP3"/>
      <selection pane="bottomRight" activeCell="D5" sqref="D5"/>
    </sheetView>
  </sheetViews>
  <sheetFormatPr defaultRowHeight="12.75" x14ac:dyDescent="0.35"/>
  <cols>
    <col min="1" max="1" width="8.796875" hidden="1" customWidth="1"/>
    <col min="2" max="2" width="4.265625" hidden="1" customWidth="1"/>
    <col min="3" max="3" width="25.73046875" bestFit="1" customWidth="1"/>
    <col min="4" max="5" width="3.19921875" bestFit="1" customWidth="1"/>
    <col min="6" max="8" width="3.19921875" customWidth="1"/>
    <col min="9" max="11" width="3.19921875" bestFit="1" customWidth="1"/>
    <col min="12" max="21" width="3.19921875" customWidth="1"/>
    <col min="22" max="22" width="3.19921875" bestFit="1" customWidth="1"/>
    <col min="23" max="29" width="3.19921875" customWidth="1"/>
    <col min="30" max="30" width="2.73046875" bestFit="1" customWidth="1"/>
    <col min="31" max="31" width="14" bestFit="1" customWidth="1"/>
    <col min="32" max="38" width="3.19921875" bestFit="1" customWidth="1"/>
    <col min="39" max="39" width="2.73046875" bestFit="1" customWidth="1"/>
    <col min="40" max="58" width="2.73046875" customWidth="1"/>
    <col min="59" max="59" width="14" bestFit="1" customWidth="1"/>
    <col min="60" max="66" width="3.19921875" bestFit="1" customWidth="1"/>
    <col min="67" max="67" width="2.73046875" bestFit="1" customWidth="1"/>
    <col min="68" max="86" width="2.73046875" customWidth="1"/>
    <col min="87" max="87" width="14" bestFit="1" customWidth="1"/>
    <col min="88" max="94" width="3.19921875" bestFit="1" customWidth="1"/>
    <col min="95" max="95" width="2.73046875" bestFit="1" customWidth="1"/>
    <col min="96" max="114" width="2.73046875" customWidth="1"/>
    <col min="115" max="115" width="14" bestFit="1" customWidth="1"/>
    <col min="116" max="116" width="6" customWidth="1"/>
  </cols>
  <sheetData>
    <row r="1" spans="1:129" ht="18.399999999999999" thickBot="1" x14ac:dyDescent="0.6">
      <c r="C1" s="1" t="s">
        <v>5</v>
      </c>
      <c r="D1" s="101" t="s">
        <v>44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3"/>
      <c r="AF1" s="104" t="s">
        <v>45</v>
      </c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  <c r="AX1" s="105"/>
      <c r="AY1" s="105"/>
      <c r="AZ1" s="105"/>
      <c r="BA1" s="105"/>
      <c r="BB1" s="105"/>
      <c r="BC1" s="105"/>
      <c r="BD1" s="105"/>
      <c r="BE1" s="105"/>
      <c r="BF1" s="105"/>
      <c r="BG1" s="106"/>
      <c r="BH1" s="107" t="s">
        <v>46</v>
      </c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9"/>
      <c r="CJ1" s="110" t="s">
        <v>47</v>
      </c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2"/>
    </row>
    <row r="2" spans="1:129" ht="14.65" thickBot="1" x14ac:dyDescent="0.5">
      <c r="A2" t="s">
        <v>13</v>
      </c>
      <c r="B2" t="s">
        <v>14</v>
      </c>
      <c r="C2" s="2" t="s">
        <v>3</v>
      </c>
      <c r="D2" s="3" t="s">
        <v>2</v>
      </c>
      <c r="E2" s="4" t="s">
        <v>2</v>
      </c>
      <c r="F2" s="4" t="s">
        <v>2</v>
      </c>
      <c r="G2" s="4" t="s">
        <v>2</v>
      </c>
      <c r="H2" s="4" t="s">
        <v>2</v>
      </c>
      <c r="I2" s="5" t="s">
        <v>2</v>
      </c>
      <c r="J2" s="6" t="s">
        <v>2</v>
      </c>
      <c r="K2" s="6" t="s">
        <v>2</v>
      </c>
      <c r="L2" s="6" t="s">
        <v>2</v>
      </c>
      <c r="M2" s="6" t="s">
        <v>2</v>
      </c>
      <c r="N2" s="6" t="s">
        <v>2</v>
      </c>
      <c r="O2" s="6" t="s">
        <v>2</v>
      </c>
      <c r="P2" s="6" t="s">
        <v>2</v>
      </c>
      <c r="Q2" s="6" t="s">
        <v>2</v>
      </c>
      <c r="R2" s="6" t="s">
        <v>2</v>
      </c>
      <c r="S2" s="6" t="s">
        <v>2</v>
      </c>
      <c r="T2" s="6" t="s">
        <v>2</v>
      </c>
      <c r="U2" s="6" t="s">
        <v>0</v>
      </c>
      <c r="V2" s="6" t="s">
        <v>0</v>
      </c>
      <c r="W2" s="6" t="s">
        <v>0</v>
      </c>
      <c r="X2" s="6" t="s">
        <v>0</v>
      </c>
      <c r="Y2" s="6" t="s">
        <v>1</v>
      </c>
      <c r="Z2" s="6" t="s">
        <v>1</v>
      </c>
      <c r="AA2" s="6" t="s">
        <v>1</v>
      </c>
      <c r="AB2" s="6" t="s">
        <v>1</v>
      </c>
      <c r="AC2" s="6" t="s">
        <v>39</v>
      </c>
      <c r="AD2" s="6" t="s">
        <v>39</v>
      </c>
      <c r="AE2" s="7"/>
      <c r="AF2" s="3" t="str">
        <f>+D2</f>
        <v>D</v>
      </c>
      <c r="AG2" s="3" t="str">
        <f t="shared" ref="AG2:BF2" si="0">+E2</f>
        <v>D</v>
      </c>
      <c r="AH2" s="3" t="str">
        <f t="shared" si="0"/>
        <v>D</v>
      </c>
      <c r="AI2" s="3" t="str">
        <f t="shared" si="0"/>
        <v>D</v>
      </c>
      <c r="AJ2" s="3" t="str">
        <f t="shared" si="0"/>
        <v>D</v>
      </c>
      <c r="AK2" s="3" t="str">
        <f t="shared" si="0"/>
        <v>D</v>
      </c>
      <c r="AL2" s="3" t="str">
        <f t="shared" si="0"/>
        <v>D</v>
      </c>
      <c r="AM2" s="3" t="str">
        <f t="shared" si="0"/>
        <v>D</v>
      </c>
      <c r="AN2" s="3" t="str">
        <f t="shared" si="0"/>
        <v>D</v>
      </c>
      <c r="AO2" s="3" t="str">
        <f t="shared" si="0"/>
        <v>D</v>
      </c>
      <c r="AP2" s="3" t="str">
        <f t="shared" si="0"/>
        <v>D</v>
      </c>
      <c r="AQ2" s="3" t="str">
        <f t="shared" si="0"/>
        <v>D</v>
      </c>
      <c r="AR2" s="3" t="str">
        <f t="shared" si="0"/>
        <v>D</v>
      </c>
      <c r="AS2" s="3" t="str">
        <f t="shared" si="0"/>
        <v>D</v>
      </c>
      <c r="AT2" s="3" t="str">
        <f t="shared" si="0"/>
        <v>D</v>
      </c>
      <c r="AU2" s="3" t="str">
        <f t="shared" si="0"/>
        <v>D</v>
      </c>
      <c r="AV2" s="3" t="str">
        <f t="shared" si="0"/>
        <v>D</v>
      </c>
      <c r="AW2" s="3" t="str">
        <f t="shared" si="0"/>
        <v>W</v>
      </c>
      <c r="AX2" s="3" t="str">
        <f t="shared" si="0"/>
        <v>W</v>
      </c>
      <c r="AY2" s="3" t="str">
        <f t="shared" si="0"/>
        <v>W</v>
      </c>
      <c r="AZ2" s="3" t="str">
        <f t="shared" si="0"/>
        <v>W</v>
      </c>
      <c r="BA2" s="3" t="str">
        <f t="shared" si="0"/>
        <v>M</v>
      </c>
      <c r="BB2" s="3" t="str">
        <f t="shared" si="0"/>
        <v>M</v>
      </c>
      <c r="BC2" s="3" t="str">
        <f t="shared" si="0"/>
        <v>M</v>
      </c>
      <c r="BD2" s="3" t="str">
        <f t="shared" si="0"/>
        <v>M</v>
      </c>
      <c r="BE2" s="3" t="str">
        <f t="shared" si="0"/>
        <v>Q</v>
      </c>
      <c r="BF2" s="3" t="str">
        <f t="shared" si="0"/>
        <v>Q</v>
      </c>
      <c r="BG2" s="7"/>
      <c r="BH2" s="3" t="str">
        <f>+D2</f>
        <v>D</v>
      </c>
      <c r="BI2" s="4" t="str">
        <f t="shared" ref="BI2:BI4" si="1">+E2</f>
        <v>D</v>
      </c>
      <c r="BJ2" s="4" t="str">
        <f t="shared" ref="BJ2:BJ4" si="2">+F2</f>
        <v>D</v>
      </c>
      <c r="BK2" s="4" t="str">
        <f t="shared" ref="BK2:BK4" si="3">+G2</f>
        <v>D</v>
      </c>
      <c r="BL2" s="4" t="str">
        <f t="shared" ref="BL2:BL4" si="4">+H2</f>
        <v>D</v>
      </c>
      <c r="BM2" s="5" t="str">
        <f t="shared" ref="BM2:BM4" si="5">+I2</f>
        <v>D</v>
      </c>
      <c r="BN2" s="6" t="str">
        <f t="shared" ref="BN2:BN4" si="6">+J2</f>
        <v>D</v>
      </c>
      <c r="BO2" s="6" t="str">
        <f t="shared" ref="BO2:BO4" si="7">+K2</f>
        <v>D</v>
      </c>
      <c r="BP2" s="6" t="str">
        <f t="shared" ref="BP2:BP4" si="8">+L2</f>
        <v>D</v>
      </c>
      <c r="BQ2" s="6" t="str">
        <f t="shared" ref="BQ2:BQ4" si="9">+M2</f>
        <v>D</v>
      </c>
      <c r="BR2" s="6" t="str">
        <f t="shared" ref="BR2:BR4" si="10">+N2</f>
        <v>D</v>
      </c>
      <c r="BS2" s="6" t="str">
        <f t="shared" ref="BS2:BS4" si="11">+O2</f>
        <v>D</v>
      </c>
      <c r="BT2" s="6" t="str">
        <f t="shared" ref="BT2:BT4" si="12">+P2</f>
        <v>D</v>
      </c>
      <c r="BU2" s="6" t="str">
        <f t="shared" ref="BU2:BU4" si="13">+Q2</f>
        <v>D</v>
      </c>
      <c r="BV2" s="6" t="str">
        <f t="shared" ref="BV2:BV4" si="14">+R2</f>
        <v>D</v>
      </c>
      <c r="BW2" s="6" t="str">
        <f t="shared" ref="BW2:BW4" si="15">+S2</f>
        <v>D</v>
      </c>
      <c r="BX2" s="6" t="str">
        <f t="shared" ref="BX2:BX4" si="16">+T2</f>
        <v>D</v>
      </c>
      <c r="BY2" s="6" t="str">
        <f t="shared" ref="BY2:BY4" si="17">+U2</f>
        <v>W</v>
      </c>
      <c r="BZ2" s="6" t="str">
        <f t="shared" ref="BZ2:BZ4" si="18">+V2</f>
        <v>W</v>
      </c>
      <c r="CA2" s="6" t="str">
        <f t="shared" ref="CA2:CA4" si="19">+W2</f>
        <v>W</v>
      </c>
      <c r="CB2" s="6" t="str">
        <f t="shared" ref="CB2:CB4" si="20">+X2</f>
        <v>W</v>
      </c>
      <c r="CC2" s="6" t="str">
        <f t="shared" ref="CC2:CC4" si="21">+Y2</f>
        <v>M</v>
      </c>
      <c r="CD2" s="6" t="str">
        <f t="shared" ref="CD2:CD4" si="22">+Z2</f>
        <v>M</v>
      </c>
      <c r="CE2" s="6" t="str">
        <f t="shared" ref="CE2:CE4" si="23">+AA2</f>
        <v>M</v>
      </c>
      <c r="CF2" s="6" t="str">
        <f t="shared" ref="CF2:CF4" si="24">+AB2</f>
        <v>M</v>
      </c>
      <c r="CG2" s="6" t="str">
        <f t="shared" ref="CG2:CG4" si="25">+AC2</f>
        <v>Q</v>
      </c>
      <c r="CH2" s="6" t="str">
        <f t="shared" ref="CH2:CH4" si="26">+AD2</f>
        <v>Q</v>
      </c>
      <c r="CI2" s="7"/>
      <c r="CJ2" s="3" t="str">
        <f>+D2</f>
        <v>D</v>
      </c>
      <c r="CK2" s="4" t="str">
        <f t="shared" ref="CK2:CK4" si="27">+E2</f>
        <v>D</v>
      </c>
      <c r="CL2" s="4" t="str">
        <f t="shared" ref="CL2:CL4" si="28">+F2</f>
        <v>D</v>
      </c>
      <c r="CM2" s="4" t="str">
        <f t="shared" ref="CM2:CM4" si="29">+G2</f>
        <v>D</v>
      </c>
      <c r="CN2" s="4" t="str">
        <f t="shared" ref="CN2:CN4" si="30">+H2</f>
        <v>D</v>
      </c>
      <c r="CO2" s="5" t="str">
        <f t="shared" ref="CO2:CO4" si="31">+I2</f>
        <v>D</v>
      </c>
      <c r="CP2" s="6" t="str">
        <f t="shared" ref="CP2:CP4" si="32">+J2</f>
        <v>D</v>
      </c>
      <c r="CQ2" s="6" t="str">
        <f t="shared" ref="CQ2:CQ4" si="33">+K2</f>
        <v>D</v>
      </c>
      <c r="CR2" s="6" t="str">
        <f t="shared" ref="CR2:CR4" si="34">+L2</f>
        <v>D</v>
      </c>
      <c r="CS2" s="6" t="str">
        <f t="shared" ref="CS2:CS4" si="35">+M2</f>
        <v>D</v>
      </c>
      <c r="CT2" s="6" t="str">
        <f t="shared" ref="CT2:CT4" si="36">+N2</f>
        <v>D</v>
      </c>
      <c r="CU2" s="6" t="str">
        <f t="shared" ref="CU2:CU4" si="37">+O2</f>
        <v>D</v>
      </c>
      <c r="CV2" s="6" t="str">
        <f t="shared" ref="CV2:CV4" si="38">+P2</f>
        <v>D</v>
      </c>
      <c r="CW2" s="6" t="str">
        <f t="shared" ref="CW2:CW4" si="39">+Q2</f>
        <v>D</v>
      </c>
      <c r="CX2" s="6" t="str">
        <f t="shared" ref="CX2:CX4" si="40">+R2</f>
        <v>D</v>
      </c>
      <c r="CY2" s="6" t="str">
        <f t="shared" ref="CY2:CY4" si="41">+S2</f>
        <v>D</v>
      </c>
      <c r="CZ2" s="6" t="str">
        <f t="shared" ref="CZ2:CZ4" si="42">+T2</f>
        <v>D</v>
      </c>
      <c r="DA2" s="6" t="str">
        <f t="shared" ref="DA2:DA4" si="43">+U2</f>
        <v>W</v>
      </c>
      <c r="DB2" s="6" t="str">
        <f t="shared" ref="DB2:DB4" si="44">+V2</f>
        <v>W</v>
      </c>
      <c r="DC2" s="6" t="str">
        <f t="shared" ref="DC2:DC4" si="45">+W2</f>
        <v>W</v>
      </c>
      <c r="DD2" s="6" t="str">
        <f t="shared" ref="DD2:DD4" si="46">+X2</f>
        <v>W</v>
      </c>
      <c r="DE2" s="6" t="str">
        <f t="shared" ref="DE2:DE4" si="47">+Y2</f>
        <v>M</v>
      </c>
      <c r="DF2" s="6" t="str">
        <f t="shared" ref="DF2:DF4" si="48">+Z2</f>
        <v>M</v>
      </c>
      <c r="DG2" s="6" t="str">
        <f t="shared" ref="DG2:DG4" si="49">+AA2</f>
        <v>M</v>
      </c>
      <c r="DH2" s="6" t="str">
        <f t="shared" ref="DH2:DH4" si="50">+AB2</f>
        <v>M</v>
      </c>
      <c r="DI2" s="6" t="str">
        <f t="shared" ref="DI2:DI4" si="51">+AC2</f>
        <v>Q</v>
      </c>
      <c r="DJ2" s="6" t="str">
        <f t="shared" ref="DJ2:DJ4" si="52">+AD2</f>
        <v>Q</v>
      </c>
      <c r="DK2" s="7"/>
    </row>
    <row r="3" spans="1:129" ht="149.25" x14ac:dyDescent="0.35">
      <c r="B3">
        <f>VLOOKUP(C3,Data!E2:F13,2,FALSE)</f>
        <v>1</v>
      </c>
      <c r="C3" s="61" t="s">
        <v>57</v>
      </c>
      <c r="D3" s="45" t="s">
        <v>82</v>
      </c>
      <c r="E3" s="9" t="s">
        <v>37</v>
      </c>
      <c r="F3" s="9" t="s">
        <v>31</v>
      </c>
      <c r="G3" s="9" t="s">
        <v>32</v>
      </c>
      <c r="H3" s="9" t="s">
        <v>33</v>
      </c>
      <c r="I3" s="9" t="s">
        <v>36</v>
      </c>
      <c r="J3" s="9" t="s">
        <v>35</v>
      </c>
      <c r="K3" s="9" t="s">
        <v>83</v>
      </c>
      <c r="L3" s="9" t="s">
        <v>87</v>
      </c>
      <c r="M3" s="9" t="s">
        <v>43</v>
      </c>
      <c r="N3" s="9" t="s">
        <v>30</v>
      </c>
      <c r="O3" s="9" t="s">
        <v>84</v>
      </c>
      <c r="P3" s="9" t="s">
        <v>85</v>
      </c>
      <c r="Q3" s="9" t="s">
        <v>22</v>
      </c>
      <c r="R3" s="9" t="s">
        <v>38</v>
      </c>
      <c r="S3" s="9" t="s">
        <v>86</v>
      </c>
      <c r="T3" s="9" t="s">
        <v>34</v>
      </c>
      <c r="U3" s="9" t="s">
        <v>88</v>
      </c>
      <c r="V3" s="9" t="s">
        <v>97</v>
      </c>
      <c r="W3" s="9" t="s">
        <v>89</v>
      </c>
      <c r="X3" s="9" t="s">
        <v>90</v>
      </c>
      <c r="Y3" s="9" t="s">
        <v>91</v>
      </c>
      <c r="Z3" s="9" t="s">
        <v>92</v>
      </c>
      <c r="AA3" s="9" t="s">
        <v>93</v>
      </c>
      <c r="AB3" s="9" t="s">
        <v>94</v>
      </c>
      <c r="AC3" s="9" t="s">
        <v>96</v>
      </c>
      <c r="AD3" s="9" t="s">
        <v>95</v>
      </c>
      <c r="AE3" s="113" t="s">
        <v>81</v>
      </c>
      <c r="AF3" s="45" t="str">
        <f>+D3</f>
        <v>Quick environment check</v>
      </c>
      <c r="AG3" s="45" t="str">
        <f t="shared" ref="AG3:AQ4" si="53">+E3</f>
        <v>Health Analyzer Issues</v>
      </c>
      <c r="AH3" s="45" t="str">
        <f t="shared" si="53"/>
        <v>Content Database Status</v>
      </c>
      <c r="AI3" s="45" t="str">
        <f t="shared" si="53"/>
        <v>Upgrade Status Servers</v>
      </c>
      <c r="AJ3" s="45" t="str">
        <f t="shared" ref="AJ3" si="54">+H3</f>
        <v>Upgrade Status Databases</v>
      </c>
      <c r="AK3" s="45" t="str">
        <f t="shared" ref="AK3" si="55">+I3</f>
        <v>Failed Timer Jobs</v>
      </c>
      <c r="AL3" s="45" t="str">
        <f t="shared" ref="AL3" si="56">+J3</f>
        <v>Deployment Status Solutions</v>
      </c>
      <c r="AM3" s="45" t="str">
        <f t="shared" ref="AM3" si="57">+K3</f>
        <v>Content Database Size</v>
      </c>
      <c r="AN3" s="45" t="str">
        <f t="shared" ref="AN3" si="58">+L3</f>
        <v>Service Application Status</v>
      </c>
      <c r="AO3" s="45" t="str">
        <f t="shared" ref="AO3" si="59">+M3</f>
        <v>Search Topology</v>
      </c>
      <c r="AP3" s="45" t="str">
        <f t="shared" ref="AP3" si="60">+N3</f>
        <v>Search Gatherer Logs</v>
      </c>
      <c r="AQ3" s="45" t="str">
        <f t="shared" ref="AQ3" si="61">+O3</f>
        <v>Last Boot Time</v>
      </c>
      <c r="AR3" s="45" t="str">
        <f t="shared" ref="AR3" si="62">+P3</f>
        <v>Running Services Check</v>
      </c>
      <c r="AS3" s="45" t="str">
        <f t="shared" ref="AS3" si="63">+Q3</f>
        <v>Scheduled Tasks</v>
      </c>
      <c r="AT3" s="45" t="str">
        <f t="shared" ref="AT3" si="64">+R3</f>
        <v>Running websites en application pools</v>
      </c>
      <c r="AU3" s="45" t="str">
        <f t="shared" ref="AU3" si="65">+S3</f>
        <v>Group Membership Check</v>
      </c>
      <c r="AV3" s="45" t="str">
        <f t="shared" ref="AV3" si="66">+T3</f>
        <v>Backup Status</v>
      </c>
      <c r="AW3" s="45" t="str">
        <f t="shared" ref="AW3" si="67">+U3</f>
        <v>Permissions Check</v>
      </c>
      <c r="AX3" s="45" t="str">
        <f t="shared" ref="AX3" si="68">+V3</f>
        <v>New Updates</v>
      </c>
      <c r="AY3" s="45" t="str">
        <f t="shared" ref="AY3" si="69">+W3</f>
        <v>Baseline Settings</v>
      </c>
      <c r="AZ3" s="45" t="str">
        <f t="shared" ref="AZ3" si="70">+X3</f>
        <v>Access Check</v>
      </c>
      <c r="BA3" s="45" t="str">
        <f t="shared" ref="BA3" si="71">+Y3</f>
        <v>Missing Security Updates/Service Packs</v>
      </c>
      <c r="BB3" s="45" t="str">
        <f t="shared" ref="BB3" si="72">+Z3</f>
        <v>Policy Compliance</v>
      </c>
      <c r="BC3" s="45" t="str">
        <f t="shared" ref="BC3" si="73">+AA3</f>
        <v>Documentation Check</v>
      </c>
      <c r="BD3" s="45" t="str">
        <f t="shared" ref="BD3" si="74">+AB3</f>
        <v>SSL Certificates Check</v>
      </c>
      <c r="BE3" s="45" t="str">
        <f t="shared" ref="BE3" si="75">+AC3</f>
        <v>Disaster Recovery Test</v>
      </c>
      <c r="BF3" s="45" t="str">
        <f t="shared" ref="BF3" si="76">+AD3</f>
        <v>Lifecycle Check</v>
      </c>
      <c r="BG3" s="113" t="str">
        <f>+AE3</f>
        <v>Performed by:</v>
      </c>
      <c r="BH3" s="45" t="str">
        <f t="shared" ref="BH3:BH4" si="77">+D3</f>
        <v>Quick environment check</v>
      </c>
      <c r="BI3" s="9" t="str">
        <f t="shared" si="1"/>
        <v>Health Analyzer Issues</v>
      </c>
      <c r="BJ3" s="9" t="str">
        <f t="shared" si="2"/>
        <v>Content Database Status</v>
      </c>
      <c r="BK3" s="9" t="str">
        <f t="shared" si="3"/>
        <v>Upgrade Status Servers</v>
      </c>
      <c r="BL3" s="9" t="str">
        <f t="shared" si="4"/>
        <v>Upgrade Status Databases</v>
      </c>
      <c r="BM3" s="9" t="str">
        <f t="shared" si="5"/>
        <v>Failed Timer Jobs</v>
      </c>
      <c r="BN3" s="9" t="str">
        <f t="shared" si="6"/>
        <v>Deployment Status Solutions</v>
      </c>
      <c r="BO3" s="9" t="str">
        <f t="shared" si="7"/>
        <v>Content Database Size</v>
      </c>
      <c r="BP3" s="9" t="str">
        <f t="shared" si="8"/>
        <v>Service Application Status</v>
      </c>
      <c r="BQ3" s="9" t="str">
        <f t="shared" si="9"/>
        <v>Search Topology</v>
      </c>
      <c r="BR3" s="9" t="str">
        <f t="shared" si="10"/>
        <v>Search Gatherer Logs</v>
      </c>
      <c r="BS3" s="9" t="str">
        <f t="shared" si="11"/>
        <v>Last Boot Time</v>
      </c>
      <c r="BT3" s="9" t="str">
        <f t="shared" si="12"/>
        <v>Running Services Check</v>
      </c>
      <c r="BU3" s="9" t="str">
        <f t="shared" si="13"/>
        <v>Scheduled Tasks</v>
      </c>
      <c r="BV3" s="9" t="str">
        <f t="shared" si="14"/>
        <v>Running websites en application pools</v>
      </c>
      <c r="BW3" s="9" t="str">
        <f t="shared" si="15"/>
        <v>Group Membership Check</v>
      </c>
      <c r="BX3" s="9" t="str">
        <f t="shared" si="16"/>
        <v>Backup Status</v>
      </c>
      <c r="BY3" s="9" t="str">
        <f t="shared" si="17"/>
        <v>Permissions Check</v>
      </c>
      <c r="BZ3" s="9" t="str">
        <f t="shared" si="18"/>
        <v>New Updates</v>
      </c>
      <c r="CA3" s="9" t="str">
        <f t="shared" si="19"/>
        <v>Baseline Settings</v>
      </c>
      <c r="CB3" s="9" t="str">
        <f t="shared" si="20"/>
        <v>Access Check</v>
      </c>
      <c r="CC3" s="9" t="str">
        <f t="shared" si="21"/>
        <v>Missing Security Updates/Service Packs</v>
      </c>
      <c r="CD3" s="9" t="str">
        <f t="shared" si="22"/>
        <v>Policy Compliance</v>
      </c>
      <c r="CE3" s="9" t="str">
        <f t="shared" si="23"/>
        <v>Documentation Check</v>
      </c>
      <c r="CF3" s="9" t="str">
        <f t="shared" si="24"/>
        <v>SSL Certificates Check</v>
      </c>
      <c r="CG3" s="9" t="str">
        <f t="shared" si="25"/>
        <v>Disaster Recovery Test</v>
      </c>
      <c r="CH3" s="9" t="str">
        <f t="shared" si="26"/>
        <v>Lifecycle Check</v>
      </c>
      <c r="CI3" s="113" t="str">
        <f>+AE3</f>
        <v>Performed by:</v>
      </c>
      <c r="CJ3" s="45" t="str">
        <f t="shared" ref="CJ3:CJ4" si="78">+D3</f>
        <v>Quick environment check</v>
      </c>
      <c r="CK3" s="9" t="str">
        <f t="shared" si="27"/>
        <v>Health Analyzer Issues</v>
      </c>
      <c r="CL3" s="9" t="str">
        <f t="shared" si="28"/>
        <v>Content Database Status</v>
      </c>
      <c r="CM3" s="9" t="str">
        <f t="shared" si="29"/>
        <v>Upgrade Status Servers</v>
      </c>
      <c r="CN3" s="9" t="str">
        <f t="shared" si="30"/>
        <v>Upgrade Status Databases</v>
      </c>
      <c r="CO3" s="9" t="str">
        <f t="shared" si="31"/>
        <v>Failed Timer Jobs</v>
      </c>
      <c r="CP3" s="9" t="str">
        <f t="shared" si="32"/>
        <v>Deployment Status Solutions</v>
      </c>
      <c r="CQ3" s="9" t="str">
        <f t="shared" si="33"/>
        <v>Content Database Size</v>
      </c>
      <c r="CR3" s="9" t="str">
        <f t="shared" si="34"/>
        <v>Service Application Status</v>
      </c>
      <c r="CS3" s="9" t="str">
        <f t="shared" si="35"/>
        <v>Search Topology</v>
      </c>
      <c r="CT3" s="9" t="str">
        <f t="shared" si="36"/>
        <v>Search Gatherer Logs</v>
      </c>
      <c r="CU3" s="9" t="str">
        <f t="shared" si="37"/>
        <v>Last Boot Time</v>
      </c>
      <c r="CV3" s="9" t="str">
        <f t="shared" si="38"/>
        <v>Running Services Check</v>
      </c>
      <c r="CW3" s="9" t="str">
        <f t="shared" si="39"/>
        <v>Scheduled Tasks</v>
      </c>
      <c r="CX3" s="9" t="str">
        <f t="shared" si="40"/>
        <v>Running websites en application pools</v>
      </c>
      <c r="CY3" s="9" t="str">
        <f t="shared" si="41"/>
        <v>Group Membership Check</v>
      </c>
      <c r="CZ3" s="9" t="str">
        <f t="shared" si="42"/>
        <v>Backup Status</v>
      </c>
      <c r="DA3" s="9" t="str">
        <f t="shared" si="43"/>
        <v>Permissions Check</v>
      </c>
      <c r="DB3" s="9" t="str">
        <f t="shared" si="44"/>
        <v>New Updates</v>
      </c>
      <c r="DC3" s="9" t="str">
        <f t="shared" si="45"/>
        <v>Baseline Settings</v>
      </c>
      <c r="DD3" s="9" t="str">
        <f t="shared" si="46"/>
        <v>Access Check</v>
      </c>
      <c r="DE3" s="9" t="str">
        <f t="shared" si="47"/>
        <v>Missing Security Updates/Service Packs</v>
      </c>
      <c r="DF3" s="9" t="str">
        <f t="shared" si="48"/>
        <v>Policy Compliance</v>
      </c>
      <c r="DG3" s="9" t="str">
        <f t="shared" si="49"/>
        <v>Documentation Check</v>
      </c>
      <c r="DH3" s="9" t="str">
        <f t="shared" si="50"/>
        <v>SSL Certificates Check</v>
      </c>
      <c r="DI3" s="9" t="str">
        <f t="shared" si="51"/>
        <v>Disaster Recovery Test</v>
      </c>
      <c r="DJ3" s="9" t="str">
        <f t="shared" si="52"/>
        <v>Lifecycle Check</v>
      </c>
      <c r="DK3" s="113" t="str">
        <f>+AE3</f>
        <v>Performed by:</v>
      </c>
      <c r="DL3" s="46"/>
      <c r="DM3" s="16"/>
      <c r="DN3" s="16"/>
      <c r="DO3" s="16"/>
    </row>
    <row r="4" spans="1:129" ht="23.25" customHeight="1" thickBot="1" x14ac:dyDescent="0.4">
      <c r="C4" s="62">
        <f>Jaartal</f>
        <v>2017</v>
      </c>
      <c r="D4" s="45">
        <v>1</v>
      </c>
      <c r="E4" s="9">
        <v>10</v>
      </c>
      <c r="F4" s="9">
        <v>11</v>
      </c>
      <c r="G4" s="9">
        <v>12</v>
      </c>
      <c r="H4" s="9">
        <v>13</v>
      </c>
      <c r="I4" s="9">
        <v>14</v>
      </c>
      <c r="J4" s="9">
        <v>15</v>
      </c>
      <c r="K4" s="9">
        <v>16</v>
      </c>
      <c r="L4" s="9">
        <v>17</v>
      </c>
      <c r="M4" s="9">
        <v>20</v>
      </c>
      <c r="N4" s="9">
        <v>21</v>
      </c>
      <c r="O4" s="9">
        <v>30</v>
      </c>
      <c r="P4" s="9">
        <v>31</v>
      </c>
      <c r="Q4" s="9">
        <v>32</v>
      </c>
      <c r="R4" s="9">
        <v>33</v>
      </c>
      <c r="S4" s="9">
        <v>34</v>
      </c>
      <c r="T4" s="9">
        <v>40</v>
      </c>
      <c r="U4" s="9" t="s">
        <v>23</v>
      </c>
      <c r="V4" s="9" t="s">
        <v>24</v>
      </c>
      <c r="W4" s="9" t="s">
        <v>25</v>
      </c>
      <c r="X4" s="9" t="s">
        <v>26</v>
      </c>
      <c r="Y4" s="9" t="s">
        <v>27</v>
      </c>
      <c r="Z4" s="9" t="s">
        <v>28</v>
      </c>
      <c r="AA4" s="9" t="s">
        <v>29</v>
      </c>
      <c r="AB4" s="9" t="s">
        <v>42</v>
      </c>
      <c r="AC4" s="9" t="s">
        <v>40</v>
      </c>
      <c r="AD4" s="9" t="s">
        <v>41</v>
      </c>
      <c r="AE4" s="114"/>
      <c r="AF4" s="45">
        <f>+D4</f>
        <v>1</v>
      </c>
      <c r="AG4" s="45">
        <f t="shared" si="53"/>
        <v>10</v>
      </c>
      <c r="AH4" s="45">
        <f t="shared" si="53"/>
        <v>11</v>
      </c>
      <c r="AI4" s="45">
        <f t="shared" si="53"/>
        <v>12</v>
      </c>
      <c r="AJ4" s="45">
        <f t="shared" si="53"/>
        <v>13</v>
      </c>
      <c r="AK4" s="45">
        <f t="shared" si="53"/>
        <v>14</v>
      </c>
      <c r="AL4" s="45">
        <f t="shared" si="53"/>
        <v>15</v>
      </c>
      <c r="AM4" s="45">
        <f t="shared" si="53"/>
        <v>16</v>
      </c>
      <c r="AN4" s="45">
        <f t="shared" si="53"/>
        <v>17</v>
      </c>
      <c r="AO4" s="45">
        <f t="shared" si="53"/>
        <v>20</v>
      </c>
      <c r="AP4" s="45">
        <f t="shared" si="53"/>
        <v>21</v>
      </c>
      <c r="AQ4" s="45">
        <f t="shared" si="53"/>
        <v>30</v>
      </c>
      <c r="AR4" s="45">
        <f t="shared" ref="AR4:AZ4" si="79">+P4</f>
        <v>31</v>
      </c>
      <c r="AS4" s="45">
        <f t="shared" si="79"/>
        <v>32</v>
      </c>
      <c r="AT4" s="45">
        <f t="shared" si="79"/>
        <v>33</v>
      </c>
      <c r="AU4" s="45">
        <f t="shared" si="79"/>
        <v>34</v>
      </c>
      <c r="AV4" s="45">
        <f t="shared" si="79"/>
        <v>40</v>
      </c>
      <c r="AW4" s="45" t="str">
        <f t="shared" si="79"/>
        <v>W01</v>
      </c>
      <c r="AX4" s="45" t="str">
        <f t="shared" si="79"/>
        <v>W02</v>
      </c>
      <c r="AY4" s="45" t="str">
        <f t="shared" si="79"/>
        <v>W03</v>
      </c>
      <c r="AZ4" s="45" t="str">
        <f t="shared" si="79"/>
        <v>W04</v>
      </c>
      <c r="BA4" s="45" t="str">
        <f t="shared" ref="BA4" si="80">+Y4</f>
        <v>M01</v>
      </c>
      <c r="BB4" s="45" t="str">
        <f t="shared" ref="BB4" si="81">+Z4</f>
        <v>M02</v>
      </c>
      <c r="BC4" s="45" t="str">
        <f t="shared" ref="BC4" si="82">+AA4</f>
        <v>M03</v>
      </c>
      <c r="BD4" s="45" t="str">
        <f t="shared" ref="BD4" si="83">+AB4</f>
        <v>M04</v>
      </c>
      <c r="BE4" s="45" t="str">
        <f t="shared" ref="BE4" si="84">+AC4</f>
        <v>Q01</v>
      </c>
      <c r="BF4" s="45" t="str">
        <f t="shared" ref="BF4" si="85">+AD4</f>
        <v>Q02</v>
      </c>
      <c r="BG4" s="114"/>
      <c r="BH4" s="45">
        <f t="shared" si="77"/>
        <v>1</v>
      </c>
      <c r="BI4" s="9">
        <f t="shared" si="1"/>
        <v>10</v>
      </c>
      <c r="BJ4" s="9">
        <f t="shared" si="2"/>
        <v>11</v>
      </c>
      <c r="BK4" s="9">
        <f t="shared" si="3"/>
        <v>12</v>
      </c>
      <c r="BL4" s="9">
        <f t="shared" si="4"/>
        <v>13</v>
      </c>
      <c r="BM4" s="9">
        <f t="shared" si="5"/>
        <v>14</v>
      </c>
      <c r="BN4" s="9">
        <f t="shared" si="6"/>
        <v>15</v>
      </c>
      <c r="BO4" s="9">
        <f t="shared" si="7"/>
        <v>16</v>
      </c>
      <c r="BP4" s="9">
        <f t="shared" si="8"/>
        <v>17</v>
      </c>
      <c r="BQ4" s="9">
        <f t="shared" si="9"/>
        <v>20</v>
      </c>
      <c r="BR4" s="9">
        <f t="shared" si="10"/>
        <v>21</v>
      </c>
      <c r="BS4" s="9">
        <f t="shared" si="11"/>
        <v>30</v>
      </c>
      <c r="BT4" s="9">
        <f t="shared" si="12"/>
        <v>31</v>
      </c>
      <c r="BU4" s="9">
        <f t="shared" si="13"/>
        <v>32</v>
      </c>
      <c r="BV4" s="9">
        <f t="shared" si="14"/>
        <v>33</v>
      </c>
      <c r="BW4" s="9">
        <f t="shared" si="15"/>
        <v>34</v>
      </c>
      <c r="BX4" s="9">
        <f t="shared" si="16"/>
        <v>40</v>
      </c>
      <c r="BY4" s="9" t="str">
        <f t="shared" si="17"/>
        <v>W01</v>
      </c>
      <c r="BZ4" s="9" t="str">
        <f t="shared" si="18"/>
        <v>W02</v>
      </c>
      <c r="CA4" s="9" t="str">
        <f t="shared" si="19"/>
        <v>W03</v>
      </c>
      <c r="CB4" s="9" t="str">
        <f t="shared" si="20"/>
        <v>W04</v>
      </c>
      <c r="CC4" s="9" t="str">
        <f t="shared" si="21"/>
        <v>M01</v>
      </c>
      <c r="CD4" s="9" t="str">
        <f t="shared" si="22"/>
        <v>M02</v>
      </c>
      <c r="CE4" s="9" t="str">
        <f t="shared" si="23"/>
        <v>M03</v>
      </c>
      <c r="CF4" s="9" t="str">
        <f t="shared" si="24"/>
        <v>M04</v>
      </c>
      <c r="CG4" s="9" t="str">
        <f t="shared" si="25"/>
        <v>Q01</v>
      </c>
      <c r="CH4" s="9" t="str">
        <f t="shared" si="26"/>
        <v>Q02</v>
      </c>
      <c r="CI4" s="114"/>
      <c r="CJ4" s="45">
        <f t="shared" si="78"/>
        <v>1</v>
      </c>
      <c r="CK4" s="9">
        <f t="shared" si="27"/>
        <v>10</v>
      </c>
      <c r="CL4" s="9">
        <f t="shared" si="28"/>
        <v>11</v>
      </c>
      <c r="CM4" s="9">
        <f t="shared" si="29"/>
        <v>12</v>
      </c>
      <c r="CN4" s="9">
        <f t="shared" si="30"/>
        <v>13</v>
      </c>
      <c r="CO4" s="9">
        <f t="shared" si="31"/>
        <v>14</v>
      </c>
      <c r="CP4" s="9">
        <f t="shared" si="32"/>
        <v>15</v>
      </c>
      <c r="CQ4" s="9">
        <f t="shared" si="33"/>
        <v>16</v>
      </c>
      <c r="CR4" s="9">
        <f t="shared" si="34"/>
        <v>17</v>
      </c>
      <c r="CS4" s="9">
        <f t="shared" si="35"/>
        <v>20</v>
      </c>
      <c r="CT4" s="9">
        <f t="shared" si="36"/>
        <v>21</v>
      </c>
      <c r="CU4" s="9">
        <f t="shared" si="37"/>
        <v>30</v>
      </c>
      <c r="CV4" s="9">
        <f t="shared" si="38"/>
        <v>31</v>
      </c>
      <c r="CW4" s="9">
        <f t="shared" si="39"/>
        <v>32</v>
      </c>
      <c r="CX4" s="9">
        <f t="shared" si="40"/>
        <v>33</v>
      </c>
      <c r="CY4" s="9">
        <f t="shared" si="41"/>
        <v>34</v>
      </c>
      <c r="CZ4" s="9">
        <f t="shared" si="42"/>
        <v>40</v>
      </c>
      <c r="DA4" s="9" t="str">
        <f t="shared" si="43"/>
        <v>W01</v>
      </c>
      <c r="DB4" s="9" t="str">
        <f t="shared" si="44"/>
        <v>W02</v>
      </c>
      <c r="DC4" s="9" t="str">
        <f t="shared" si="45"/>
        <v>W03</v>
      </c>
      <c r="DD4" s="9" t="str">
        <f t="shared" si="46"/>
        <v>W04</v>
      </c>
      <c r="DE4" s="9" t="str">
        <f t="shared" si="47"/>
        <v>M01</v>
      </c>
      <c r="DF4" s="9" t="str">
        <f t="shared" si="48"/>
        <v>M02</v>
      </c>
      <c r="DG4" s="9" t="str">
        <f t="shared" si="49"/>
        <v>M03</v>
      </c>
      <c r="DH4" s="9" t="str">
        <f t="shared" si="50"/>
        <v>M04</v>
      </c>
      <c r="DI4" s="9" t="str">
        <f t="shared" si="51"/>
        <v>Q01</v>
      </c>
      <c r="DJ4" s="9" t="str">
        <f t="shared" si="52"/>
        <v>Q02</v>
      </c>
      <c r="DK4" s="114"/>
      <c r="DL4" s="46"/>
      <c r="DM4" s="16"/>
      <c r="DN4" s="16"/>
      <c r="DO4" s="16"/>
    </row>
    <row r="5" spans="1:129" x14ac:dyDescent="0.35">
      <c r="A5">
        <f>WEEKDAY(C5)</f>
        <v>1</v>
      </c>
      <c r="B5">
        <v>1</v>
      </c>
      <c r="C5" s="10">
        <f>DATE(Jaartal,Template!$B$3,Template!$B5)</f>
        <v>42736</v>
      </c>
      <c r="D5" s="47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9"/>
      <c r="AF5" s="50"/>
      <c r="AG5" s="51"/>
      <c r="AH5" s="51"/>
      <c r="AI5" s="51"/>
      <c r="AJ5" s="51"/>
      <c r="AK5" s="51"/>
      <c r="AL5" s="51"/>
      <c r="AM5" s="51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49"/>
      <c r="BH5" s="50"/>
      <c r="BI5" s="51"/>
      <c r="BJ5" s="51"/>
      <c r="BK5" s="51"/>
      <c r="BL5" s="51"/>
      <c r="BM5" s="51"/>
      <c r="BN5" s="51"/>
      <c r="BO5" s="51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49"/>
      <c r="CJ5" s="50"/>
      <c r="CK5" s="51"/>
      <c r="CL5" s="51"/>
      <c r="CM5" s="51"/>
      <c r="CN5" s="51"/>
      <c r="CO5" s="51"/>
      <c r="CP5" s="51"/>
      <c r="CQ5" s="51"/>
      <c r="CR5" s="52"/>
      <c r="CS5" s="52"/>
      <c r="CT5" s="52"/>
      <c r="CU5" s="52"/>
      <c r="CV5" s="52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49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</row>
    <row r="6" spans="1:129" x14ac:dyDescent="0.35">
      <c r="A6">
        <f t="shared" ref="A6:A35" si="86">WEEKDAY(C6)</f>
        <v>2</v>
      </c>
      <c r="B6">
        <v>2</v>
      </c>
      <c r="C6" s="10">
        <f>DATE(Jaartal,Template!$B$3,Template!$B6)</f>
        <v>42737</v>
      </c>
      <c r="D6" s="53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F6" s="56"/>
      <c r="AG6" s="57"/>
      <c r="AH6" s="57"/>
      <c r="AI6" s="57"/>
      <c r="AJ6" s="57"/>
      <c r="AK6" s="57"/>
      <c r="AL6" s="57"/>
      <c r="AM6" s="57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5"/>
      <c r="BH6" s="56"/>
      <c r="BI6" s="57"/>
      <c r="BJ6" s="57"/>
      <c r="BK6" s="57"/>
      <c r="BL6" s="57"/>
      <c r="BM6" s="57"/>
      <c r="BN6" s="57"/>
      <c r="BO6" s="57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5"/>
      <c r="CJ6" s="56"/>
      <c r="CK6" s="57"/>
      <c r="CL6" s="57"/>
      <c r="CM6" s="57"/>
      <c r="CN6" s="57"/>
      <c r="CO6" s="57"/>
      <c r="CP6" s="57"/>
      <c r="CQ6" s="57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5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</row>
    <row r="7" spans="1:129" x14ac:dyDescent="0.35">
      <c r="A7">
        <f t="shared" si="86"/>
        <v>3</v>
      </c>
      <c r="B7">
        <v>3</v>
      </c>
      <c r="C7" s="10">
        <f>DATE(Jaartal,Template!$B$3,Template!$B7)</f>
        <v>42738</v>
      </c>
      <c r="D7" s="53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5"/>
      <c r="AF7" s="56"/>
      <c r="AG7" s="57"/>
      <c r="AH7" s="57"/>
      <c r="AI7" s="57"/>
      <c r="AJ7" s="57"/>
      <c r="AK7" s="57"/>
      <c r="AL7" s="57"/>
      <c r="AM7" s="57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5"/>
      <c r="BH7" s="56"/>
      <c r="BI7" s="57"/>
      <c r="BJ7" s="57"/>
      <c r="BK7" s="57"/>
      <c r="BL7" s="57"/>
      <c r="BM7" s="57"/>
      <c r="BN7" s="57"/>
      <c r="BO7" s="57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5"/>
      <c r="CJ7" s="56"/>
      <c r="CK7" s="57"/>
      <c r="CL7" s="57"/>
      <c r="CM7" s="57"/>
      <c r="CN7" s="57"/>
      <c r="CO7" s="57"/>
      <c r="CP7" s="57"/>
      <c r="CQ7" s="57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5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</row>
    <row r="8" spans="1:129" x14ac:dyDescent="0.35">
      <c r="A8">
        <f t="shared" si="86"/>
        <v>4</v>
      </c>
      <c r="B8">
        <v>4</v>
      </c>
      <c r="C8" s="10">
        <f>DATE(Jaartal,Template!$B$3,Template!$B8)</f>
        <v>42739</v>
      </c>
      <c r="D8" s="53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5"/>
      <c r="AF8" s="56"/>
      <c r="AG8" s="57"/>
      <c r="AH8" s="57"/>
      <c r="AI8" s="57"/>
      <c r="AJ8" s="57"/>
      <c r="AK8" s="57"/>
      <c r="AL8" s="57"/>
      <c r="AM8" s="57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5"/>
      <c r="BH8" s="56"/>
      <c r="BI8" s="57"/>
      <c r="BJ8" s="57"/>
      <c r="BK8" s="57"/>
      <c r="BL8" s="57"/>
      <c r="BM8" s="57"/>
      <c r="BN8" s="57"/>
      <c r="BO8" s="57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5"/>
      <c r="CJ8" s="56"/>
      <c r="CK8" s="57"/>
      <c r="CL8" s="57"/>
      <c r="CM8" s="57"/>
      <c r="CN8" s="57"/>
      <c r="CO8" s="57"/>
      <c r="CP8" s="57"/>
      <c r="CQ8" s="57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5"/>
      <c r="DL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</row>
    <row r="9" spans="1:129" x14ac:dyDescent="0.35">
      <c r="A9">
        <f t="shared" si="86"/>
        <v>5</v>
      </c>
      <c r="B9">
        <v>5</v>
      </c>
      <c r="C9" s="10">
        <f>DATE(Jaartal,Template!$B$3,Template!$B9)</f>
        <v>42740</v>
      </c>
      <c r="D9" s="53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5"/>
      <c r="AF9" s="56"/>
      <c r="AG9" s="57"/>
      <c r="AH9" s="57"/>
      <c r="AI9" s="57"/>
      <c r="AJ9" s="57"/>
      <c r="AK9" s="57"/>
      <c r="AL9" s="57"/>
      <c r="AM9" s="57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5"/>
      <c r="BH9" s="56"/>
      <c r="BI9" s="57"/>
      <c r="BJ9" s="57"/>
      <c r="BK9" s="57"/>
      <c r="BL9" s="57"/>
      <c r="BM9" s="57"/>
      <c r="BN9" s="57"/>
      <c r="BO9" s="57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5"/>
      <c r="CJ9" s="56"/>
      <c r="CK9" s="57"/>
      <c r="CL9" s="57"/>
      <c r="CM9" s="57"/>
      <c r="CN9" s="57"/>
      <c r="CO9" s="57"/>
      <c r="CP9" s="57"/>
      <c r="CQ9" s="57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5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</row>
    <row r="10" spans="1:129" x14ac:dyDescent="0.35">
      <c r="A10">
        <f t="shared" si="86"/>
        <v>6</v>
      </c>
      <c r="B10">
        <v>6</v>
      </c>
      <c r="C10" s="10">
        <f>DATE(Jaartal,Template!$B$3,Template!$B10)</f>
        <v>42741</v>
      </c>
      <c r="D10" s="53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5"/>
      <c r="AF10" s="56"/>
      <c r="AG10" s="57"/>
      <c r="AH10" s="57"/>
      <c r="AI10" s="57"/>
      <c r="AJ10" s="57"/>
      <c r="AK10" s="57"/>
      <c r="AL10" s="57"/>
      <c r="AM10" s="57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5"/>
      <c r="BH10" s="56"/>
      <c r="BI10" s="57"/>
      <c r="BJ10" s="57"/>
      <c r="BK10" s="57"/>
      <c r="BL10" s="57"/>
      <c r="BM10" s="57"/>
      <c r="BN10" s="57"/>
      <c r="BO10" s="57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5"/>
      <c r="CJ10" s="56"/>
      <c r="CK10" s="57"/>
      <c r="CL10" s="57"/>
      <c r="CM10" s="57"/>
      <c r="CN10" s="57"/>
      <c r="CO10" s="57"/>
      <c r="CP10" s="57"/>
      <c r="CQ10" s="57"/>
      <c r="CR10" s="58"/>
      <c r="CS10" s="58"/>
      <c r="CT10" s="58"/>
      <c r="CU10" s="58"/>
      <c r="CV10" s="58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5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</row>
    <row r="11" spans="1:129" x14ac:dyDescent="0.35">
      <c r="A11">
        <f t="shared" si="86"/>
        <v>7</v>
      </c>
      <c r="B11">
        <v>7</v>
      </c>
      <c r="C11" s="10">
        <f>DATE(Jaartal,Template!$B$3,Template!$B11)</f>
        <v>42742</v>
      </c>
      <c r="D11" s="53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5"/>
      <c r="AF11" s="56"/>
      <c r="AG11" s="57"/>
      <c r="AH11" s="57"/>
      <c r="AI11" s="57"/>
      <c r="AJ11" s="57"/>
      <c r="AK11" s="57"/>
      <c r="AL11" s="57"/>
      <c r="AM11" s="57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5"/>
      <c r="BH11" s="56"/>
      <c r="BI11" s="57"/>
      <c r="BJ11" s="57"/>
      <c r="BK11" s="57"/>
      <c r="BL11" s="57"/>
      <c r="BM11" s="57"/>
      <c r="BN11" s="57"/>
      <c r="BO11" s="57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5"/>
      <c r="CJ11" s="56"/>
      <c r="CK11" s="57"/>
      <c r="CL11" s="57"/>
      <c r="CM11" s="57"/>
      <c r="CN11" s="57"/>
      <c r="CO11" s="57"/>
      <c r="CP11" s="57"/>
      <c r="CQ11" s="57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5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</row>
    <row r="12" spans="1:129" x14ac:dyDescent="0.35">
      <c r="A12">
        <f t="shared" si="86"/>
        <v>1</v>
      </c>
      <c r="B12">
        <v>8</v>
      </c>
      <c r="C12" s="10">
        <f>DATE(Jaartal,Template!$B$3,Template!$B12)</f>
        <v>42743</v>
      </c>
      <c r="D12" s="53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5"/>
      <c r="AF12" s="56"/>
      <c r="AG12" s="57"/>
      <c r="AH12" s="57"/>
      <c r="AI12" s="57"/>
      <c r="AJ12" s="57"/>
      <c r="AK12" s="57"/>
      <c r="AL12" s="57"/>
      <c r="AM12" s="57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5"/>
      <c r="BH12" s="56"/>
      <c r="BI12" s="57"/>
      <c r="BJ12" s="57"/>
      <c r="BK12" s="57"/>
      <c r="BL12" s="57"/>
      <c r="BM12" s="57"/>
      <c r="BN12" s="57"/>
      <c r="BO12" s="57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5"/>
      <c r="CJ12" s="56"/>
      <c r="CK12" s="57"/>
      <c r="CL12" s="57"/>
      <c r="CM12" s="57"/>
      <c r="CN12" s="57"/>
      <c r="CO12" s="57"/>
      <c r="CP12" s="57"/>
      <c r="CQ12" s="57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5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</row>
    <row r="13" spans="1:129" x14ac:dyDescent="0.35">
      <c r="A13">
        <f t="shared" si="86"/>
        <v>2</v>
      </c>
      <c r="B13">
        <v>9</v>
      </c>
      <c r="C13" s="10">
        <f>DATE(Jaartal,Template!$B$3,Template!$B13)</f>
        <v>42744</v>
      </c>
      <c r="D13" s="53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5"/>
      <c r="AF13" s="56"/>
      <c r="AG13" s="57"/>
      <c r="AH13" s="57"/>
      <c r="AI13" s="57"/>
      <c r="AJ13" s="57"/>
      <c r="AK13" s="57"/>
      <c r="AL13" s="57"/>
      <c r="AM13" s="57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5"/>
      <c r="BH13" s="56"/>
      <c r="BI13" s="57"/>
      <c r="BJ13" s="57"/>
      <c r="BK13" s="57"/>
      <c r="BL13" s="57"/>
      <c r="BM13" s="57"/>
      <c r="BN13" s="57"/>
      <c r="BO13" s="57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5"/>
      <c r="CJ13" s="56"/>
      <c r="CK13" s="57"/>
      <c r="CL13" s="57"/>
      <c r="CM13" s="57"/>
      <c r="CN13" s="57"/>
      <c r="CO13" s="57"/>
      <c r="CP13" s="57"/>
      <c r="CQ13" s="57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5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</row>
    <row r="14" spans="1:129" x14ac:dyDescent="0.35">
      <c r="A14">
        <f t="shared" si="86"/>
        <v>3</v>
      </c>
      <c r="B14">
        <v>10</v>
      </c>
      <c r="C14" s="10">
        <f>DATE(Jaartal,Template!$B$3,Template!$B14)</f>
        <v>42745</v>
      </c>
      <c r="D14" s="53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5"/>
      <c r="AF14" s="56"/>
      <c r="AG14" s="57"/>
      <c r="AH14" s="57"/>
      <c r="AI14" s="57"/>
      <c r="AJ14" s="57"/>
      <c r="AK14" s="57"/>
      <c r="AL14" s="57"/>
      <c r="AM14" s="57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5"/>
      <c r="BH14" s="56"/>
      <c r="BI14" s="57"/>
      <c r="BJ14" s="57"/>
      <c r="BK14" s="57"/>
      <c r="BL14" s="57"/>
      <c r="BM14" s="57"/>
      <c r="BN14" s="57"/>
      <c r="BO14" s="57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5"/>
      <c r="CJ14" s="56"/>
      <c r="CK14" s="57"/>
      <c r="CL14" s="57"/>
      <c r="CM14" s="57"/>
      <c r="CN14" s="57"/>
      <c r="CO14" s="57"/>
      <c r="CP14" s="57"/>
      <c r="CQ14" s="57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5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</row>
    <row r="15" spans="1:129" x14ac:dyDescent="0.35">
      <c r="A15">
        <f t="shared" si="86"/>
        <v>4</v>
      </c>
      <c r="B15">
        <v>11</v>
      </c>
      <c r="C15" s="10">
        <f>DATE(Jaartal,Template!$B$3,Template!$B15)</f>
        <v>42746</v>
      </c>
      <c r="D15" s="53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5"/>
      <c r="AF15" s="56"/>
      <c r="AG15" s="57"/>
      <c r="AH15" s="57"/>
      <c r="AI15" s="57"/>
      <c r="AJ15" s="57"/>
      <c r="AK15" s="57"/>
      <c r="AL15" s="57"/>
      <c r="AM15" s="57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5"/>
      <c r="BH15" s="56"/>
      <c r="BI15" s="57"/>
      <c r="BJ15" s="57"/>
      <c r="BK15" s="57"/>
      <c r="BL15" s="57"/>
      <c r="BM15" s="57"/>
      <c r="BN15" s="57"/>
      <c r="BO15" s="57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5"/>
      <c r="CJ15" s="56"/>
      <c r="CK15" s="57"/>
      <c r="CL15" s="57"/>
      <c r="CM15" s="57"/>
      <c r="CN15" s="57"/>
      <c r="CO15" s="57"/>
      <c r="CP15" s="57"/>
      <c r="CQ15" s="57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5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</row>
    <row r="16" spans="1:129" x14ac:dyDescent="0.35">
      <c r="A16">
        <f t="shared" si="86"/>
        <v>5</v>
      </c>
      <c r="B16">
        <v>12</v>
      </c>
      <c r="C16" s="10">
        <f>DATE(Jaartal,Template!$B$3,Template!$B16)</f>
        <v>42747</v>
      </c>
      <c r="D16" s="53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5"/>
      <c r="AF16" s="56"/>
      <c r="AG16" s="57"/>
      <c r="AH16" s="57"/>
      <c r="AI16" s="57"/>
      <c r="AJ16" s="57"/>
      <c r="AK16" s="57"/>
      <c r="AL16" s="57"/>
      <c r="AM16" s="57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5"/>
      <c r="BH16" s="56"/>
      <c r="BI16" s="57"/>
      <c r="BJ16" s="57"/>
      <c r="BK16" s="57"/>
      <c r="BL16" s="57"/>
      <c r="BM16" s="57"/>
      <c r="BN16" s="57"/>
      <c r="BO16" s="57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5"/>
      <c r="CJ16" s="56"/>
      <c r="CK16" s="57"/>
      <c r="CL16" s="57"/>
      <c r="CM16" s="57"/>
      <c r="CN16" s="57"/>
      <c r="CO16" s="57"/>
      <c r="CP16" s="57"/>
      <c r="CQ16" s="57"/>
      <c r="CR16" s="58"/>
      <c r="CS16" s="58"/>
      <c r="CT16" s="58"/>
      <c r="CU16" s="58"/>
      <c r="CV16" s="58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5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</row>
    <row r="17" spans="1:129" x14ac:dyDescent="0.35">
      <c r="A17">
        <f t="shared" si="86"/>
        <v>6</v>
      </c>
      <c r="B17">
        <v>13</v>
      </c>
      <c r="C17" s="10">
        <f>DATE(Jaartal,Template!$B$3,Template!$B17)</f>
        <v>42748</v>
      </c>
      <c r="D17" s="56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9"/>
      <c r="AF17" s="56"/>
      <c r="AG17" s="57"/>
      <c r="AH17" s="57"/>
      <c r="AI17" s="57"/>
      <c r="AJ17" s="57"/>
      <c r="AK17" s="57"/>
      <c r="AL17" s="57"/>
      <c r="AM17" s="57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5"/>
      <c r="BH17" s="56"/>
      <c r="BI17" s="57"/>
      <c r="BJ17" s="57"/>
      <c r="BK17" s="57"/>
      <c r="BL17" s="57"/>
      <c r="BM17" s="57"/>
      <c r="BN17" s="57"/>
      <c r="BO17" s="57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5"/>
      <c r="CJ17" s="56"/>
      <c r="CK17" s="57"/>
      <c r="CL17" s="57"/>
      <c r="CM17" s="57"/>
      <c r="CN17" s="57"/>
      <c r="CO17" s="57"/>
      <c r="CP17" s="57"/>
      <c r="CQ17" s="57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5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</row>
    <row r="18" spans="1:129" x14ac:dyDescent="0.35">
      <c r="A18">
        <f t="shared" si="86"/>
        <v>7</v>
      </c>
      <c r="B18">
        <v>14</v>
      </c>
      <c r="C18" s="10">
        <f>DATE(Jaartal,Template!$B$3,Template!$B18)</f>
        <v>42749</v>
      </c>
      <c r="D18" s="56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4"/>
      <c r="AD18" s="57"/>
      <c r="AE18" s="59"/>
      <c r="AF18" s="56"/>
      <c r="AG18" s="57"/>
      <c r="AH18" s="57"/>
      <c r="AI18" s="57"/>
      <c r="AJ18" s="57"/>
      <c r="AK18" s="57"/>
      <c r="AL18" s="57"/>
      <c r="AM18" s="57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5"/>
      <c r="BH18" s="56"/>
      <c r="BI18" s="57"/>
      <c r="BJ18" s="57"/>
      <c r="BK18" s="57"/>
      <c r="BL18" s="57"/>
      <c r="BM18" s="57"/>
      <c r="BN18" s="57"/>
      <c r="BO18" s="57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5"/>
      <c r="CJ18" s="56"/>
      <c r="CK18" s="57"/>
      <c r="CL18" s="57"/>
      <c r="CM18" s="57"/>
      <c r="CN18" s="57"/>
      <c r="CO18" s="57"/>
      <c r="CP18" s="57"/>
      <c r="CQ18" s="57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5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</row>
    <row r="19" spans="1:129" x14ac:dyDescent="0.35">
      <c r="A19">
        <f t="shared" si="86"/>
        <v>1</v>
      </c>
      <c r="B19">
        <v>15</v>
      </c>
      <c r="C19" s="10">
        <f>DATE(Jaartal,Template!$B$3,Template!$B19)</f>
        <v>42750</v>
      </c>
      <c r="D19" s="56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4"/>
      <c r="AD19" s="57"/>
      <c r="AE19" s="59"/>
      <c r="AF19" s="56"/>
      <c r="AG19" s="57"/>
      <c r="AH19" s="57"/>
      <c r="AI19" s="57"/>
      <c r="AJ19" s="57"/>
      <c r="AK19" s="57"/>
      <c r="AL19" s="57"/>
      <c r="AM19" s="57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5"/>
      <c r="BH19" s="56"/>
      <c r="BI19" s="57"/>
      <c r="BJ19" s="57"/>
      <c r="BK19" s="57"/>
      <c r="BL19" s="57"/>
      <c r="BM19" s="57"/>
      <c r="BN19" s="57"/>
      <c r="BO19" s="57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5"/>
      <c r="CJ19" s="56"/>
      <c r="CK19" s="57"/>
      <c r="CL19" s="57"/>
      <c r="CM19" s="57"/>
      <c r="CN19" s="57"/>
      <c r="CO19" s="57"/>
      <c r="CP19" s="57"/>
      <c r="CQ19" s="57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5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</row>
    <row r="20" spans="1:129" x14ac:dyDescent="0.35">
      <c r="A20">
        <f t="shared" si="86"/>
        <v>2</v>
      </c>
      <c r="B20">
        <v>16</v>
      </c>
      <c r="C20" s="10">
        <f>DATE(Jaartal,Template!$B$3,Template!$B20)</f>
        <v>42751</v>
      </c>
      <c r="D20" s="56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9"/>
      <c r="AF20" s="56"/>
      <c r="AG20" s="57"/>
      <c r="AH20" s="57"/>
      <c r="AI20" s="57"/>
      <c r="AJ20" s="57"/>
      <c r="AK20" s="57"/>
      <c r="AL20" s="57"/>
      <c r="AM20" s="57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5"/>
      <c r="BH20" s="56"/>
      <c r="BI20" s="57"/>
      <c r="BJ20" s="57"/>
      <c r="BK20" s="57"/>
      <c r="BL20" s="57"/>
      <c r="BM20" s="57"/>
      <c r="BN20" s="57"/>
      <c r="BO20" s="57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5"/>
      <c r="CJ20" s="56"/>
      <c r="CK20" s="57"/>
      <c r="CL20" s="57"/>
      <c r="CM20" s="57"/>
      <c r="CN20" s="57"/>
      <c r="CO20" s="57"/>
      <c r="CP20" s="57"/>
      <c r="CQ20" s="57"/>
      <c r="CR20" s="58"/>
      <c r="CS20" s="58"/>
      <c r="CT20" s="58"/>
      <c r="CU20" s="58"/>
      <c r="CV20" s="58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5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</row>
    <row r="21" spans="1:129" x14ac:dyDescent="0.35">
      <c r="A21">
        <f t="shared" si="86"/>
        <v>3</v>
      </c>
      <c r="B21">
        <v>17</v>
      </c>
      <c r="C21" s="10">
        <f>DATE(Jaartal,Template!$B$3,Template!$B21)</f>
        <v>42752</v>
      </c>
      <c r="D21" s="56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9"/>
      <c r="AF21" s="56"/>
      <c r="AG21" s="57"/>
      <c r="AH21" s="57"/>
      <c r="AI21" s="57"/>
      <c r="AJ21" s="57"/>
      <c r="AK21" s="57"/>
      <c r="AL21" s="57"/>
      <c r="AM21" s="57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5"/>
      <c r="BH21" s="56"/>
      <c r="BI21" s="57"/>
      <c r="BJ21" s="57"/>
      <c r="BK21" s="57"/>
      <c r="BL21" s="57"/>
      <c r="BM21" s="57"/>
      <c r="BN21" s="57"/>
      <c r="BO21" s="57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5"/>
      <c r="CJ21" s="56"/>
      <c r="CK21" s="57"/>
      <c r="CL21" s="57"/>
      <c r="CM21" s="57"/>
      <c r="CN21" s="57"/>
      <c r="CO21" s="57"/>
      <c r="CP21" s="57"/>
      <c r="CQ21" s="57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5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</row>
    <row r="22" spans="1:129" x14ac:dyDescent="0.35">
      <c r="A22">
        <f t="shared" si="86"/>
        <v>4</v>
      </c>
      <c r="B22">
        <v>18</v>
      </c>
      <c r="C22" s="10">
        <f>DATE(Jaartal,Template!$B$3,Template!$B22)</f>
        <v>42753</v>
      </c>
      <c r="D22" s="56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9"/>
      <c r="AF22" s="56"/>
      <c r="AG22" s="57"/>
      <c r="AH22" s="57"/>
      <c r="AI22" s="57"/>
      <c r="AJ22" s="57"/>
      <c r="AK22" s="57"/>
      <c r="AL22" s="57"/>
      <c r="AM22" s="57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5"/>
      <c r="BH22" s="56"/>
      <c r="BI22" s="57"/>
      <c r="BJ22" s="57"/>
      <c r="BK22" s="57"/>
      <c r="BL22" s="57"/>
      <c r="BM22" s="57"/>
      <c r="BN22" s="57"/>
      <c r="BO22" s="57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5"/>
      <c r="CJ22" s="56"/>
      <c r="CK22" s="57"/>
      <c r="CL22" s="57"/>
      <c r="CM22" s="57"/>
      <c r="CN22" s="57"/>
      <c r="CO22" s="57"/>
      <c r="CP22" s="57"/>
      <c r="CQ22" s="57"/>
      <c r="CR22" s="58"/>
      <c r="CS22" s="58"/>
      <c r="CT22" s="58"/>
      <c r="CU22" s="58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5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</row>
    <row r="23" spans="1:129" x14ac:dyDescent="0.35">
      <c r="A23">
        <f t="shared" si="86"/>
        <v>5</v>
      </c>
      <c r="B23">
        <v>19</v>
      </c>
      <c r="C23" s="10">
        <f>DATE(Jaartal,Template!$B$3,Template!$B23)</f>
        <v>42754</v>
      </c>
      <c r="D23" s="56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9"/>
      <c r="AF23" s="56"/>
      <c r="AG23" s="57"/>
      <c r="AH23" s="57"/>
      <c r="AI23" s="57"/>
      <c r="AJ23" s="57"/>
      <c r="AK23" s="57"/>
      <c r="AL23" s="57"/>
      <c r="AM23" s="57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5"/>
      <c r="BH23" s="56"/>
      <c r="BI23" s="57"/>
      <c r="BJ23" s="57"/>
      <c r="BK23" s="57"/>
      <c r="BL23" s="57"/>
      <c r="BM23" s="57"/>
      <c r="BN23" s="57"/>
      <c r="BO23" s="57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5"/>
      <c r="CJ23" s="56"/>
      <c r="CK23" s="57"/>
      <c r="CL23" s="57"/>
      <c r="CM23" s="57"/>
      <c r="CN23" s="57"/>
      <c r="CO23" s="57"/>
      <c r="CP23" s="57"/>
      <c r="CQ23" s="57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5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</row>
    <row r="24" spans="1:129" x14ac:dyDescent="0.35">
      <c r="A24">
        <f t="shared" si="86"/>
        <v>6</v>
      </c>
      <c r="B24">
        <v>20</v>
      </c>
      <c r="C24" s="10">
        <f>DATE(Jaartal,Template!$B$3,Template!$B24)</f>
        <v>42755</v>
      </c>
      <c r="D24" s="56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9"/>
      <c r="AF24" s="56"/>
      <c r="AG24" s="57"/>
      <c r="AH24" s="57"/>
      <c r="AI24" s="57"/>
      <c r="AJ24" s="57"/>
      <c r="AK24" s="57"/>
      <c r="AL24" s="57"/>
      <c r="AM24" s="57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5"/>
      <c r="BH24" s="56"/>
      <c r="BI24" s="57"/>
      <c r="BJ24" s="57"/>
      <c r="BK24" s="57"/>
      <c r="BL24" s="57"/>
      <c r="BM24" s="57"/>
      <c r="BN24" s="57"/>
      <c r="BO24" s="57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5"/>
      <c r="CJ24" s="56"/>
      <c r="CK24" s="57"/>
      <c r="CL24" s="57"/>
      <c r="CM24" s="57"/>
      <c r="CN24" s="57"/>
      <c r="CO24" s="57"/>
      <c r="CP24" s="57"/>
      <c r="CQ24" s="57"/>
      <c r="CR24" s="58"/>
      <c r="CS24" s="58"/>
      <c r="CT24" s="58"/>
      <c r="CU24" s="58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5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</row>
    <row r="25" spans="1:129" x14ac:dyDescent="0.35">
      <c r="A25">
        <f t="shared" si="86"/>
        <v>7</v>
      </c>
      <c r="B25">
        <v>21</v>
      </c>
      <c r="C25" s="10">
        <f>DATE(Jaartal,Template!$B$3,Template!$B25)</f>
        <v>42756</v>
      </c>
      <c r="D25" s="56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9"/>
      <c r="AF25" s="56"/>
      <c r="AG25" s="57"/>
      <c r="AH25" s="57"/>
      <c r="AI25" s="57"/>
      <c r="AJ25" s="57"/>
      <c r="AK25" s="57"/>
      <c r="AL25" s="57"/>
      <c r="AM25" s="57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5"/>
      <c r="BH25" s="56"/>
      <c r="BI25" s="57"/>
      <c r="BJ25" s="57"/>
      <c r="BK25" s="57"/>
      <c r="BL25" s="57"/>
      <c r="BM25" s="57"/>
      <c r="BN25" s="57"/>
      <c r="BO25" s="57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5"/>
      <c r="CJ25" s="56"/>
      <c r="CK25" s="57"/>
      <c r="CL25" s="57"/>
      <c r="CM25" s="57"/>
      <c r="CN25" s="57"/>
      <c r="CO25" s="57"/>
      <c r="CP25" s="57"/>
      <c r="CQ25" s="57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5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</row>
    <row r="26" spans="1:129" x14ac:dyDescent="0.35">
      <c r="A26">
        <f t="shared" si="86"/>
        <v>1</v>
      </c>
      <c r="B26">
        <v>22</v>
      </c>
      <c r="C26" s="10">
        <f>DATE(Jaartal,Template!$B$3,Template!$B26)</f>
        <v>42757</v>
      </c>
      <c r="D26" s="56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9"/>
      <c r="AF26" s="56"/>
      <c r="AG26" s="57"/>
      <c r="AH26" s="57"/>
      <c r="AI26" s="57"/>
      <c r="AJ26" s="57"/>
      <c r="AK26" s="57"/>
      <c r="AL26" s="57"/>
      <c r="AM26" s="57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5"/>
      <c r="BH26" s="56"/>
      <c r="BI26" s="57"/>
      <c r="BJ26" s="57"/>
      <c r="BK26" s="57"/>
      <c r="BL26" s="57"/>
      <c r="BM26" s="57"/>
      <c r="BN26" s="57"/>
      <c r="BO26" s="57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5"/>
      <c r="CJ26" s="56"/>
      <c r="CK26" s="57"/>
      <c r="CL26" s="57"/>
      <c r="CM26" s="57"/>
      <c r="CN26" s="57"/>
      <c r="CO26" s="57"/>
      <c r="CP26" s="57"/>
      <c r="CQ26" s="57"/>
      <c r="CR26" s="58"/>
      <c r="CS26" s="58"/>
      <c r="CT26" s="58"/>
      <c r="CU26" s="58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5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</row>
    <row r="27" spans="1:129" x14ac:dyDescent="0.35">
      <c r="A27">
        <f t="shared" si="86"/>
        <v>2</v>
      </c>
      <c r="B27">
        <v>23</v>
      </c>
      <c r="C27" s="10">
        <f>DATE(Jaartal,Template!$B$3,Template!$B27)</f>
        <v>42758</v>
      </c>
      <c r="D27" s="56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9"/>
      <c r="AF27" s="56"/>
      <c r="AG27" s="57"/>
      <c r="AH27" s="57"/>
      <c r="AI27" s="57"/>
      <c r="AJ27" s="57"/>
      <c r="AK27" s="57"/>
      <c r="AL27" s="57"/>
      <c r="AM27" s="57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5"/>
      <c r="BH27" s="56"/>
      <c r="BI27" s="57"/>
      <c r="BJ27" s="57"/>
      <c r="BK27" s="57"/>
      <c r="BL27" s="57"/>
      <c r="BM27" s="57"/>
      <c r="BN27" s="57"/>
      <c r="BO27" s="57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5"/>
      <c r="CJ27" s="56"/>
      <c r="CK27" s="57"/>
      <c r="CL27" s="57"/>
      <c r="CM27" s="57"/>
      <c r="CN27" s="57"/>
      <c r="CO27" s="57"/>
      <c r="CP27" s="57"/>
      <c r="CQ27" s="57"/>
      <c r="CR27" s="58"/>
      <c r="CS27" s="58"/>
      <c r="CT27" s="58"/>
      <c r="CU27" s="58"/>
      <c r="CV27" s="58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5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</row>
    <row r="28" spans="1:129" x14ac:dyDescent="0.35">
      <c r="A28">
        <f t="shared" si="86"/>
        <v>3</v>
      </c>
      <c r="B28">
        <v>24</v>
      </c>
      <c r="C28" s="10">
        <f>DATE(Jaartal,Template!$B$3,Template!$B28)</f>
        <v>42759</v>
      </c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9"/>
      <c r="AF28" s="56"/>
      <c r="AG28" s="57"/>
      <c r="AH28" s="57"/>
      <c r="AI28" s="57"/>
      <c r="AJ28" s="57"/>
      <c r="AK28" s="57"/>
      <c r="AL28" s="57"/>
      <c r="AM28" s="57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5"/>
      <c r="BH28" s="56"/>
      <c r="BI28" s="57"/>
      <c r="BJ28" s="57"/>
      <c r="BK28" s="57"/>
      <c r="BL28" s="57"/>
      <c r="BM28" s="57"/>
      <c r="BN28" s="57"/>
      <c r="BO28" s="57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5"/>
      <c r="CJ28" s="56"/>
      <c r="CK28" s="57"/>
      <c r="CL28" s="57"/>
      <c r="CM28" s="57"/>
      <c r="CN28" s="57"/>
      <c r="CO28" s="57"/>
      <c r="CP28" s="57"/>
      <c r="CQ28" s="57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5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</row>
    <row r="29" spans="1:129" x14ac:dyDescent="0.35">
      <c r="A29">
        <f t="shared" si="86"/>
        <v>4</v>
      </c>
      <c r="B29">
        <v>25</v>
      </c>
      <c r="C29" s="10">
        <f>DATE(Jaartal,Template!$B$3,Template!$B29)</f>
        <v>42760</v>
      </c>
      <c r="D29" s="56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9"/>
      <c r="AF29" s="56"/>
      <c r="AG29" s="57"/>
      <c r="AH29" s="57"/>
      <c r="AI29" s="57"/>
      <c r="AJ29" s="57"/>
      <c r="AK29" s="57"/>
      <c r="AL29" s="57"/>
      <c r="AM29" s="57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5"/>
      <c r="BH29" s="56"/>
      <c r="BI29" s="57"/>
      <c r="BJ29" s="57"/>
      <c r="BK29" s="57"/>
      <c r="BL29" s="57"/>
      <c r="BM29" s="57"/>
      <c r="BN29" s="57"/>
      <c r="BO29" s="57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5"/>
      <c r="CJ29" s="56"/>
      <c r="CK29" s="57"/>
      <c r="CL29" s="57"/>
      <c r="CM29" s="57"/>
      <c r="CN29" s="57"/>
      <c r="CO29" s="57"/>
      <c r="CP29" s="57"/>
      <c r="CQ29" s="57"/>
      <c r="CR29" s="58"/>
      <c r="CS29" s="58"/>
      <c r="CT29" s="58"/>
      <c r="CU29" s="58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5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</row>
    <row r="30" spans="1:129" x14ac:dyDescent="0.35">
      <c r="A30">
        <f t="shared" si="86"/>
        <v>5</v>
      </c>
      <c r="B30">
        <v>26</v>
      </c>
      <c r="C30" s="10">
        <f>DATE(Jaartal,Template!$B$3,Template!$B30)</f>
        <v>42761</v>
      </c>
      <c r="D30" s="56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9"/>
      <c r="AF30" s="56"/>
      <c r="AG30" s="57"/>
      <c r="AH30" s="57"/>
      <c r="AI30" s="57"/>
      <c r="AJ30" s="57"/>
      <c r="AK30" s="57"/>
      <c r="AL30" s="57"/>
      <c r="AM30" s="57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5"/>
      <c r="BH30" s="56"/>
      <c r="BI30" s="57"/>
      <c r="BJ30" s="57"/>
      <c r="BK30" s="57"/>
      <c r="BL30" s="57"/>
      <c r="BM30" s="57"/>
      <c r="BN30" s="57"/>
      <c r="BO30" s="57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5"/>
      <c r="CJ30" s="56"/>
      <c r="CK30" s="57"/>
      <c r="CL30" s="57"/>
      <c r="CM30" s="57"/>
      <c r="CN30" s="57"/>
      <c r="CO30" s="57"/>
      <c r="CP30" s="57"/>
      <c r="CQ30" s="57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5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</row>
    <row r="31" spans="1:129" x14ac:dyDescent="0.35">
      <c r="A31">
        <f t="shared" si="86"/>
        <v>6</v>
      </c>
      <c r="B31">
        <v>27</v>
      </c>
      <c r="C31" s="10">
        <f>DATE(Jaartal,Template!$B$3,Template!$B31)</f>
        <v>42762</v>
      </c>
      <c r="D31" s="56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9"/>
      <c r="AF31" s="56"/>
      <c r="AG31" s="57"/>
      <c r="AH31" s="57"/>
      <c r="AI31" s="57"/>
      <c r="AJ31" s="57"/>
      <c r="AK31" s="57"/>
      <c r="AL31" s="57"/>
      <c r="AM31" s="57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5"/>
      <c r="BH31" s="56"/>
      <c r="BI31" s="57"/>
      <c r="BJ31" s="57"/>
      <c r="BK31" s="57"/>
      <c r="BL31" s="57"/>
      <c r="BM31" s="57"/>
      <c r="BN31" s="57"/>
      <c r="BO31" s="57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5"/>
      <c r="CJ31" s="56"/>
      <c r="CK31" s="57"/>
      <c r="CL31" s="57"/>
      <c r="CM31" s="57"/>
      <c r="CN31" s="57"/>
      <c r="CO31" s="57"/>
      <c r="CP31" s="57"/>
      <c r="CQ31" s="57"/>
      <c r="CR31" s="58"/>
      <c r="CS31" s="58"/>
      <c r="CT31" s="58"/>
      <c r="CU31" s="58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5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</row>
    <row r="32" spans="1:129" x14ac:dyDescent="0.35">
      <c r="A32">
        <f t="shared" si="86"/>
        <v>7</v>
      </c>
      <c r="B32">
        <v>28</v>
      </c>
      <c r="C32" s="10">
        <f>DATE(Jaartal,Template!$B$3,Template!$B32)</f>
        <v>42763</v>
      </c>
      <c r="D32" s="56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9"/>
      <c r="AF32" s="56"/>
      <c r="AG32" s="57"/>
      <c r="AH32" s="57"/>
      <c r="AI32" s="57"/>
      <c r="AJ32" s="57"/>
      <c r="AK32" s="57"/>
      <c r="AL32" s="57"/>
      <c r="AM32" s="57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5"/>
      <c r="BH32" s="56"/>
      <c r="BI32" s="57"/>
      <c r="BJ32" s="57"/>
      <c r="BK32" s="57"/>
      <c r="BL32" s="57"/>
      <c r="BM32" s="57"/>
      <c r="BN32" s="57"/>
      <c r="BO32" s="57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5"/>
      <c r="CJ32" s="56"/>
      <c r="CK32" s="57"/>
      <c r="CL32" s="57"/>
      <c r="CM32" s="57"/>
      <c r="CN32" s="57"/>
      <c r="CO32" s="57"/>
      <c r="CP32" s="57"/>
      <c r="CQ32" s="57"/>
      <c r="CR32" s="58"/>
      <c r="CS32" s="58"/>
      <c r="CT32" s="58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5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</row>
    <row r="33" spans="1:129" x14ac:dyDescent="0.35">
      <c r="A33">
        <f t="shared" si="86"/>
        <v>1</v>
      </c>
      <c r="B33">
        <v>29</v>
      </c>
      <c r="C33" s="10">
        <f>DATE(Jaartal,Template!$B$3,Template!$B33)</f>
        <v>42764</v>
      </c>
      <c r="D33" s="56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9"/>
      <c r="AF33" s="56"/>
      <c r="AG33" s="57"/>
      <c r="AH33" s="57"/>
      <c r="AI33" s="57"/>
      <c r="AJ33" s="57"/>
      <c r="AK33" s="57"/>
      <c r="AL33" s="57"/>
      <c r="AM33" s="57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5"/>
      <c r="BH33" s="56"/>
      <c r="BI33" s="57"/>
      <c r="BJ33" s="57"/>
      <c r="BK33" s="57"/>
      <c r="BL33" s="57"/>
      <c r="BM33" s="57"/>
      <c r="BN33" s="57"/>
      <c r="BO33" s="57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5"/>
      <c r="CJ33" s="56"/>
      <c r="CK33" s="57"/>
      <c r="CL33" s="57"/>
      <c r="CM33" s="57"/>
      <c r="CN33" s="57"/>
      <c r="CO33" s="57"/>
      <c r="CP33" s="57"/>
      <c r="CQ33" s="57"/>
      <c r="CR33" s="58"/>
      <c r="CS33" s="58"/>
      <c r="CT33" s="58"/>
      <c r="CU33" s="58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5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</row>
    <row r="34" spans="1:129" x14ac:dyDescent="0.35">
      <c r="A34">
        <f t="shared" si="86"/>
        <v>2</v>
      </c>
      <c r="B34">
        <v>30</v>
      </c>
      <c r="C34" s="10">
        <f>DATE(Jaartal,Template!$B$3,Template!$B34)</f>
        <v>42765</v>
      </c>
      <c r="D34" s="56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9"/>
      <c r="AF34" s="56"/>
      <c r="AG34" s="57"/>
      <c r="AH34" s="57"/>
      <c r="AI34" s="57"/>
      <c r="AJ34" s="57"/>
      <c r="AK34" s="57"/>
      <c r="AL34" s="57"/>
      <c r="AM34" s="57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5"/>
      <c r="BH34" s="56"/>
      <c r="BI34" s="57"/>
      <c r="BJ34" s="57"/>
      <c r="BK34" s="57"/>
      <c r="BL34" s="57"/>
      <c r="BM34" s="57"/>
      <c r="BN34" s="57"/>
      <c r="BO34" s="57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5"/>
      <c r="CJ34" s="56"/>
      <c r="CK34" s="57"/>
      <c r="CL34" s="57"/>
      <c r="CM34" s="57"/>
      <c r="CN34" s="57"/>
      <c r="CO34" s="57"/>
      <c r="CP34" s="57"/>
      <c r="CQ34" s="57"/>
      <c r="CR34" s="58"/>
      <c r="CS34" s="58"/>
      <c r="CT34" s="58"/>
      <c r="CU34" s="58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5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</row>
    <row r="35" spans="1:129" x14ac:dyDescent="0.35">
      <c r="A35">
        <f t="shared" si="86"/>
        <v>3</v>
      </c>
      <c r="B35">
        <v>31</v>
      </c>
      <c r="C35" s="10">
        <f>DATE(Jaartal,Template!$B$3,Template!$B35)</f>
        <v>42766</v>
      </c>
      <c r="D35" s="56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9"/>
      <c r="AF35" s="56"/>
      <c r="AG35" s="57"/>
      <c r="AH35" s="57"/>
      <c r="AI35" s="57"/>
      <c r="AJ35" s="57"/>
      <c r="AK35" s="57"/>
      <c r="AL35" s="57"/>
      <c r="AM35" s="57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5"/>
      <c r="BH35" s="56"/>
      <c r="BI35" s="57"/>
      <c r="BJ35" s="57"/>
      <c r="BK35" s="57"/>
      <c r="BL35" s="57"/>
      <c r="BM35" s="57"/>
      <c r="BN35" s="57"/>
      <c r="BO35" s="57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9"/>
      <c r="CJ35" s="60"/>
      <c r="CK35" s="57"/>
      <c r="CL35" s="57"/>
      <c r="CM35" s="57"/>
      <c r="CN35" s="57"/>
      <c r="CO35" s="57"/>
      <c r="CP35" s="57"/>
      <c r="CQ35" s="57"/>
      <c r="CR35" s="58"/>
      <c r="CS35" s="58"/>
      <c r="CT35" s="58"/>
      <c r="CU35" s="58"/>
      <c r="CV35" s="58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5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</row>
    <row r="36" spans="1:129" x14ac:dyDescent="0.35"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</row>
    <row r="38" spans="1:129" ht="13.15" thickBot="1" x14ac:dyDescent="0.4"/>
    <row r="39" spans="1:129" ht="13.5" thickBot="1" x14ac:dyDescent="0.45">
      <c r="D39" s="89" t="s">
        <v>7</v>
      </c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1"/>
    </row>
    <row r="40" spans="1:129" ht="13.15" thickBot="1" x14ac:dyDescent="0.4">
      <c r="D40" s="14">
        <v>1</v>
      </c>
      <c r="E40" s="92" t="s">
        <v>4</v>
      </c>
      <c r="F40" s="92"/>
      <c r="G40" s="92"/>
      <c r="H40" s="92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4"/>
    </row>
    <row r="41" spans="1:129" ht="13.15" thickBot="1" x14ac:dyDescent="0.4">
      <c r="D41" s="18">
        <v>2</v>
      </c>
      <c r="E41" s="95" t="s">
        <v>6</v>
      </c>
      <c r="F41" s="95"/>
      <c r="G41" s="95"/>
      <c r="H41" s="95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</row>
    <row r="42" spans="1:129" ht="13.15" thickBot="1" x14ac:dyDescent="0.4">
      <c r="D42" s="15">
        <v>3</v>
      </c>
      <c r="E42" s="95" t="s">
        <v>15</v>
      </c>
      <c r="F42" s="95"/>
      <c r="G42" s="95"/>
      <c r="H42" s="95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</row>
    <row r="43" spans="1:129" ht="13.15" thickBot="1" x14ac:dyDescent="0.4">
      <c r="D43" s="19"/>
      <c r="E43" s="98" t="s">
        <v>8</v>
      </c>
      <c r="F43" s="98"/>
      <c r="G43" s="98"/>
      <c r="H43" s="98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  <c r="AB43" s="99"/>
      <c r="AC43" s="99"/>
      <c r="AD43" s="99"/>
      <c r="AE43" s="99"/>
      <c r="AF43" s="100"/>
    </row>
    <row r="44" spans="1:129" x14ac:dyDescent="0.35">
      <c r="D44" s="11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3"/>
      <c r="AF44" s="13"/>
    </row>
    <row r="52" spans="30:31" x14ac:dyDescent="0.35">
      <c r="AD52" s="8"/>
      <c r="AE52" s="8"/>
    </row>
    <row r="53" spans="30:31" x14ac:dyDescent="0.35">
      <c r="AD53" s="8"/>
      <c r="AE53" s="8"/>
    </row>
    <row r="54" spans="30:31" x14ac:dyDescent="0.35">
      <c r="AD54" s="8"/>
      <c r="AE54" s="8"/>
    </row>
    <row r="55" spans="30:31" x14ac:dyDescent="0.35">
      <c r="AD55" s="8"/>
      <c r="AE55" s="8"/>
    </row>
    <row r="56" spans="30:31" x14ac:dyDescent="0.35">
      <c r="AD56" s="8"/>
      <c r="AE56" s="8"/>
    </row>
  </sheetData>
  <sheetProtection selectLockedCells="1"/>
  <mergeCells count="13">
    <mergeCell ref="D39:AF39"/>
    <mergeCell ref="E40:AF40"/>
    <mergeCell ref="E41:AF41"/>
    <mergeCell ref="E42:AF42"/>
    <mergeCell ref="E43:AF43"/>
    <mergeCell ref="D1:AE1"/>
    <mergeCell ref="AF1:BG1"/>
    <mergeCell ref="BH1:CI1"/>
    <mergeCell ref="CJ1:DK1"/>
    <mergeCell ref="AE3:AE4"/>
    <mergeCell ref="BG3:BG4"/>
    <mergeCell ref="CI3:CI4"/>
    <mergeCell ref="DK3:DK4"/>
  </mergeCells>
  <conditionalFormatting sqref="D5:DK35">
    <cfRule type="expression" dxfId="47" priority="1" stopIfTrue="1">
      <formula>D5=3</formula>
    </cfRule>
    <cfRule type="expression" dxfId="46" priority="2" stopIfTrue="1">
      <formula>D5=2</formula>
    </cfRule>
    <cfRule type="expression" dxfId="45" priority="3" stopIfTrue="1">
      <formula>D5=1</formula>
    </cfRule>
    <cfRule type="expression" dxfId="44" priority="4" stopIfTrue="1">
      <formula>IF($A5=1,1,IF($A5=7,1,IF(D$2="Q",IF($A5=2,IF($B5&lt;8,IF(MOD($B$3,3)&lt;&gt;0,1,0),1),1),IF(D$2="M",IF($A5=2,IF($B5&gt;7,1,0),1),IF(D$2="W",IF($A5=2,0,1),0)))))</formula>
    </cfRule>
  </conditionalFormatting>
  <dataValidations count="4">
    <dataValidation type="list" allowBlank="1" showInputMessage="1" showErrorMessage="1" sqref="AF5:BF35 BH5:CH35 CJ5:DJ35 D5:AD35" xr:uid="{00000000-0002-0000-0E00-000000000000}">
      <formula1>Status</formula1>
    </dataValidation>
    <dataValidation type="list" allowBlank="1" showInputMessage="1" showErrorMessage="1" sqref="C3" xr:uid="{00000000-0002-0000-0E00-000001000000}">
      <formula1>List_Maanden</formula1>
    </dataValidation>
    <dataValidation type="list" allowBlank="1" showInputMessage="1" showErrorMessage="1" sqref="DK5:DK35 CI5:CI35 BG5:BG35 AE5:AE35" xr:uid="{00000000-0002-0000-0E00-000002000000}">
      <formula1>List_Personen</formula1>
    </dataValidation>
    <dataValidation type="list" allowBlank="1" showInputMessage="1" showErrorMessage="1" sqref="D2:AD2" xr:uid="{00000000-0002-0000-0E00-000003000000}">
      <formula1>"D,W,M,Q"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4281D5E7B65841AD9A18B3B9D6ECC8" ma:contentTypeVersion="5" ma:contentTypeDescription="Een nieuw document maken." ma:contentTypeScope="" ma:versionID="a79937e33d980fb0ced1861ceb6d0d56">
  <xsd:schema xmlns:xsd="http://www.w3.org/2001/XMLSchema" xmlns:xs="http://www.w3.org/2001/XMLSchema" xmlns:p="http://schemas.microsoft.com/office/2006/metadata/properties" xmlns:ns1="http://schemas.microsoft.com/sharepoint/v3" xmlns:ns3="b3ae827f-33b3-41ce-a44e-e7d6ced249a2" targetNamespace="http://schemas.microsoft.com/office/2006/metadata/properties" ma:root="true" ma:fieldsID="055ebe9e598b4e3e17a18117c852de1f" ns1:_="" ns3:_="">
    <xsd:import namespace="http://schemas.microsoft.com/sharepoint/v3"/>
    <xsd:import namespace="b3ae827f-33b3-41ce-a44e-e7d6ced249a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ingHintHash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ae827f-33b3-41ce-a44e-e7d6ced249a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Hint-hash delen" ma:internalName="SharingHintHash" ma:readOnly="true">
      <xsd:simpleType>
        <xsd:restriction base="dms:Text"/>
      </xsd:simpleType>
    </xsd:element>
    <xsd:element name="SharedWithDetails" ma:index="10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FD4309C-BDF7-4451-A55C-08132CBE96BF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sharepoint/v3"/>
    <ds:schemaRef ds:uri="http://schemas.openxmlformats.org/package/2006/metadata/core-properties"/>
    <ds:schemaRef ds:uri="http://purl.org/dc/terms/"/>
    <ds:schemaRef ds:uri="b3ae827f-33b3-41ce-a44e-e7d6ced249a2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FEF6AE4-36B3-4A68-B39C-B5BDEF395F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3ae827f-33b3-41ce-a44e-e7d6ced249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BE492E-0C0A-443E-BB96-CFBA897870DA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371015C2-2EE6-476A-8BC7-394EA54B60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Instructions</vt:lpstr>
      <vt:lpstr>Data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Template</vt:lpstr>
      <vt:lpstr>Jaartal</vt:lpstr>
      <vt:lpstr>List_Maanden</vt:lpstr>
      <vt:lpstr>List_Personen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Yorick Kuijs</dc:creator>
  <cp:lastModifiedBy>Yorick Kuijs</cp:lastModifiedBy>
  <dcterms:created xsi:type="dcterms:W3CDTF">2012-08-20T07:18:58Z</dcterms:created>
  <dcterms:modified xsi:type="dcterms:W3CDTF">2017-09-15T12:52:39Z</dcterms:modified>
</cp:coreProperties>
</file>