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02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rc\SPPeriodicChecks\Documentation\"/>
    </mc:Choice>
  </mc:AlternateContent>
  <xr:revisionPtr revIDLastSave="0" documentId="13_ncr:1_{901B708B-5546-4D8B-8441-C3F3776C4D26}" xr6:coauthVersionLast="45" xr6:coauthVersionMax="45" xr10:uidLastSave="{00000000-0000-0000-0000-000000000000}"/>
  <bookViews>
    <workbookView xWindow="-4810" yWindow="-21710" windowWidth="38620" windowHeight="21220" tabRatio="733" xr2:uid="{00000000-000D-0000-FFFF-FFFF00000000}"/>
  </bookViews>
  <sheets>
    <sheet name="Instructions" sheetId="1" r:id="rId1"/>
    <sheet name="Data" sheetId="11" r:id="rId2"/>
    <sheet name="January" sheetId="12" r:id="rId3"/>
    <sheet name="February" sheetId="62" r:id="rId4"/>
    <sheet name="March" sheetId="63" r:id="rId5"/>
    <sheet name="April" sheetId="64" r:id="rId6"/>
    <sheet name="May" sheetId="65" r:id="rId7"/>
    <sheet name="June" sheetId="72" r:id="rId8"/>
    <sheet name="July" sheetId="70" r:id="rId9"/>
    <sheet name="August" sheetId="71" r:id="rId10"/>
    <sheet name="September" sheetId="69" r:id="rId11"/>
    <sheet name="October" sheetId="68" r:id="rId12"/>
    <sheet name="November" sheetId="66" r:id="rId13"/>
    <sheet name="December" sheetId="67" r:id="rId14"/>
    <sheet name="Template" sheetId="61" r:id="rId15"/>
  </sheets>
  <definedNames>
    <definedName name="Jaartal">Data!$C$2</definedName>
    <definedName name="List_Maanden">Data!$E$2:$E$13</definedName>
    <definedName name="List_Personen">Data!$A$2:$A$9</definedName>
    <definedName name="Status">Data!$H$2:$H$6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V4" i="72" l="1"/>
  <c r="DU4" i="72"/>
  <c r="DT4" i="72"/>
  <c r="DS4" i="72"/>
  <c r="DR4" i="72"/>
  <c r="DQ4" i="72"/>
  <c r="DP4" i="72"/>
  <c r="DO4" i="72"/>
  <c r="DN4" i="72"/>
  <c r="DM4" i="72"/>
  <c r="DL4" i="72"/>
  <c r="DK4" i="72"/>
  <c r="DJ4" i="72"/>
  <c r="DI4" i="72"/>
  <c r="DH4" i="72"/>
  <c r="DG4" i="72"/>
  <c r="DE4" i="72"/>
  <c r="DD4" i="72"/>
  <c r="DA4" i="72"/>
  <c r="CZ4" i="72"/>
  <c r="CY4" i="72"/>
  <c r="CX4" i="72"/>
  <c r="CW4" i="72"/>
  <c r="CV4" i="72"/>
  <c r="CU4" i="72"/>
  <c r="CT4" i="72"/>
  <c r="CS4" i="72"/>
  <c r="CQ4" i="72"/>
  <c r="CP4" i="72"/>
  <c r="CO4" i="72"/>
  <c r="CN4" i="72"/>
  <c r="CM4" i="72"/>
  <c r="CL4" i="72"/>
  <c r="CK4" i="72"/>
  <c r="CJ4" i="72"/>
  <c r="CI4" i="72"/>
  <c r="CH4" i="72"/>
  <c r="CG4" i="72"/>
  <c r="CF4" i="72"/>
  <c r="CE4" i="72"/>
  <c r="CD4" i="72"/>
  <c r="CC4" i="72"/>
  <c r="CB4" i="72"/>
  <c r="BZ4" i="72"/>
  <c r="BY4" i="72"/>
  <c r="BV4" i="72"/>
  <c r="BU4" i="72"/>
  <c r="BT4" i="72"/>
  <c r="BS4" i="72"/>
  <c r="BR4" i="72"/>
  <c r="BQ4" i="72"/>
  <c r="BP4" i="72"/>
  <c r="BO4" i="72"/>
  <c r="BN4" i="72"/>
  <c r="BL4" i="72"/>
  <c r="BK4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U4" i="72"/>
  <c r="AT4" i="72"/>
  <c r="AQ4" i="72"/>
  <c r="AP4" i="72"/>
  <c r="AO4" i="72"/>
  <c r="AN4" i="72"/>
  <c r="AM4" i="72"/>
  <c r="AL4" i="72"/>
  <c r="AK4" i="72"/>
  <c r="AJ4" i="72"/>
  <c r="AI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P4" i="72"/>
  <c r="O4" i="72"/>
  <c r="L4" i="72"/>
  <c r="K4" i="72"/>
  <c r="J4" i="72"/>
  <c r="I4" i="72"/>
  <c r="H4" i="72"/>
  <c r="G4" i="72"/>
  <c r="F4" i="72"/>
  <c r="E4" i="72"/>
  <c r="D4" i="72"/>
  <c r="C4" i="72"/>
  <c r="DW3" i="72"/>
  <c r="DV3" i="72"/>
  <c r="DU3" i="72"/>
  <c r="DT3" i="72"/>
  <c r="DS3" i="72"/>
  <c r="DR3" i="72"/>
  <c r="DQ3" i="72"/>
  <c r="DP3" i="72"/>
  <c r="DO3" i="72"/>
  <c r="DN3" i="72"/>
  <c r="DM3" i="72"/>
  <c r="DL3" i="72"/>
  <c r="DK3" i="72"/>
  <c r="DJ3" i="72"/>
  <c r="DI3" i="72"/>
  <c r="DH3" i="72"/>
  <c r="DG3" i="72"/>
  <c r="DE3" i="72"/>
  <c r="DD3" i="72"/>
  <c r="DA3" i="72"/>
  <c r="CZ3" i="72"/>
  <c r="CY3" i="72"/>
  <c r="CX3" i="72"/>
  <c r="CW3" i="72"/>
  <c r="CV3" i="72"/>
  <c r="CU3" i="72"/>
  <c r="CT3" i="72"/>
  <c r="CS3" i="72"/>
  <c r="CR3" i="72"/>
  <c r="CQ3" i="72"/>
  <c r="CP3" i="72"/>
  <c r="CO3" i="72"/>
  <c r="CN3" i="72"/>
  <c r="CM3" i="72"/>
  <c r="CL3" i="72"/>
  <c r="CK3" i="72"/>
  <c r="CJ3" i="72"/>
  <c r="CI3" i="72"/>
  <c r="CH3" i="72"/>
  <c r="CG3" i="72"/>
  <c r="CF3" i="72"/>
  <c r="CE3" i="72"/>
  <c r="CD3" i="72"/>
  <c r="CC3" i="72"/>
  <c r="CB3" i="72"/>
  <c r="BZ3" i="72"/>
  <c r="BY3" i="72"/>
  <c r="BV3" i="72"/>
  <c r="BU3" i="72"/>
  <c r="BT3" i="72"/>
  <c r="BS3" i="72"/>
  <c r="BR3" i="72"/>
  <c r="BQ3" i="72"/>
  <c r="BP3" i="72"/>
  <c r="BO3" i="72"/>
  <c r="BN3" i="72"/>
  <c r="BM3" i="72"/>
  <c r="BL3" i="72"/>
  <c r="BK3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U3" i="72"/>
  <c r="AT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P3" i="72"/>
  <c r="O3" i="72"/>
  <c r="L3" i="72"/>
  <c r="K3" i="72"/>
  <c r="J3" i="72"/>
  <c r="I3" i="72"/>
  <c r="H3" i="72"/>
  <c r="G3" i="72"/>
  <c r="F3" i="72"/>
  <c r="E3" i="72"/>
  <c r="D3" i="72"/>
  <c r="B3" i="72"/>
  <c r="C35" i="72" s="1"/>
  <c r="A35" i="72" s="1"/>
  <c r="DV2" i="72"/>
  <c r="DU2" i="72"/>
  <c r="DT2" i="72"/>
  <c r="DS2" i="72"/>
  <c r="DR2" i="72"/>
  <c r="DQ2" i="72"/>
  <c r="DP2" i="72"/>
  <c r="DO2" i="72"/>
  <c r="DN2" i="72"/>
  <c r="DM2" i="72"/>
  <c r="DL2" i="72"/>
  <c r="DK2" i="72"/>
  <c r="DJ2" i="72"/>
  <c r="DI2" i="72"/>
  <c r="DH2" i="72"/>
  <c r="DG2" i="72"/>
  <c r="DE2" i="72"/>
  <c r="DD2" i="72"/>
  <c r="DA2" i="72"/>
  <c r="CZ2" i="72"/>
  <c r="CY2" i="72"/>
  <c r="CX2" i="72"/>
  <c r="CW2" i="72"/>
  <c r="CV2" i="72"/>
  <c r="CU2" i="72"/>
  <c r="CT2" i="72"/>
  <c r="CS2" i="72"/>
  <c r="CQ2" i="72"/>
  <c r="CP2" i="72"/>
  <c r="CO2" i="72"/>
  <c r="CN2" i="72"/>
  <c r="CM2" i="72"/>
  <c r="CL2" i="72"/>
  <c r="CK2" i="72"/>
  <c r="CJ2" i="72"/>
  <c r="CI2" i="72"/>
  <c r="CH2" i="72"/>
  <c r="CG2" i="72"/>
  <c r="CF2" i="72"/>
  <c r="CE2" i="72"/>
  <c r="CD2" i="72"/>
  <c r="CC2" i="72"/>
  <c r="CB2" i="72"/>
  <c r="BZ2" i="72"/>
  <c r="BY2" i="72"/>
  <c r="BV2" i="72"/>
  <c r="BU2" i="72"/>
  <c r="BT2" i="72"/>
  <c r="BS2" i="72"/>
  <c r="BR2" i="72"/>
  <c r="BQ2" i="72"/>
  <c r="BP2" i="72"/>
  <c r="BO2" i="72"/>
  <c r="BN2" i="72"/>
  <c r="BL2" i="72"/>
  <c r="BK2" i="72"/>
  <c r="BJ2" i="72"/>
  <c r="BI2" i="72"/>
  <c r="BH2" i="72"/>
  <c r="BG2" i="72"/>
  <c r="BF2" i="72"/>
  <c r="BE2" i="72"/>
  <c r="BD2" i="72"/>
  <c r="BC2" i="72"/>
  <c r="BB2" i="72"/>
  <c r="BA2" i="72"/>
  <c r="AZ2" i="72"/>
  <c r="AY2" i="72"/>
  <c r="AX2" i="72"/>
  <c r="AW2" i="72"/>
  <c r="AU2" i="72"/>
  <c r="AT2" i="72"/>
  <c r="AQ2" i="72"/>
  <c r="AP2" i="72"/>
  <c r="AO2" i="72"/>
  <c r="AN2" i="72"/>
  <c r="AM2" i="72"/>
  <c r="AL2" i="72"/>
  <c r="AK2" i="72"/>
  <c r="AJ2" i="72"/>
  <c r="AI2" i="72"/>
  <c r="AG2" i="72"/>
  <c r="AF2" i="72"/>
  <c r="AE2" i="72"/>
  <c r="AD2" i="72"/>
  <c r="AC2" i="72"/>
  <c r="AB2" i="72"/>
  <c r="AA2" i="72"/>
  <c r="Z2" i="72"/>
  <c r="Y2" i="72"/>
  <c r="X2" i="72"/>
  <c r="W2" i="72"/>
  <c r="V2" i="72"/>
  <c r="U2" i="72"/>
  <c r="T2" i="72"/>
  <c r="S2" i="72"/>
  <c r="R2" i="72"/>
  <c r="P2" i="72"/>
  <c r="O2" i="72"/>
  <c r="L2" i="72"/>
  <c r="K2" i="72"/>
  <c r="J2" i="72"/>
  <c r="I2" i="72"/>
  <c r="H2" i="72"/>
  <c r="G2" i="72"/>
  <c r="F2" i="72"/>
  <c r="E2" i="72"/>
  <c r="D2" i="72"/>
  <c r="DV4" i="71"/>
  <c r="DU4" i="71"/>
  <c r="DT4" i="71"/>
  <c r="DS4" i="71"/>
  <c r="DR4" i="71"/>
  <c r="DQ4" i="71"/>
  <c r="DP4" i="71"/>
  <c r="DO4" i="71"/>
  <c r="DN4" i="71"/>
  <c r="DM4" i="71"/>
  <c r="DL4" i="71"/>
  <c r="DK4" i="71"/>
  <c r="DJ4" i="71"/>
  <c r="DI4" i="71"/>
  <c r="DH4" i="71"/>
  <c r="DG4" i="71"/>
  <c r="DE4" i="71"/>
  <c r="DD4" i="71"/>
  <c r="DA4" i="71"/>
  <c r="CZ4" i="71"/>
  <c r="CY4" i="71"/>
  <c r="CX4" i="71"/>
  <c r="CW4" i="71"/>
  <c r="CV4" i="71"/>
  <c r="CU4" i="71"/>
  <c r="CT4" i="71"/>
  <c r="CS4" i="71"/>
  <c r="CQ4" i="71"/>
  <c r="CP4" i="71"/>
  <c r="CO4" i="71"/>
  <c r="CN4" i="71"/>
  <c r="CM4" i="71"/>
  <c r="CL4" i="71"/>
  <c r="CK4" i="71"/>
  <c r="CJ4" i="71"/>
  <c r="CI4" i="71"/>
  <c r="CH4" i="71"/>
  <c r="CG4" i="71"/>
  <c r="CF4" i="71"/>
  <c r="CE4" i="71"/>
  <c r="CD4" i="71"/>
  <c r="CC4" i="71"/>
  <c r="CB4" i="71"/>
  <c r="BZ4" i="71"/>
  <c r="BY4" i="71"/>
  <c r="BV4" i="71"/>
  <c r="BU4" i="71"/>
  <c r="BT4" i="71"/>
  <c r="BS4" i="71"/>
  <c r="BR4" i="71"/>
  <c r="BQ4" i="71"/>
  <c r="BP4" i="71"/>
  <c r="BO4" i="71"/>
  <c r="BN4" i="71"/>
  <c r="BL4" i="71"/>
  <c r="BK4" i="71"/>
  <c r="BJ4" i="71"/>
  <c r="BI4" i="71"/>
  <c r="BH4" i="71"/>
  <c r="BG4" i="71"/>
  <c r="BF4" i="71"/>
  <c r="BE4" i="71"/>
  <c r="BD4" i="71"/>
  <c r="BC4" i="71"/>
  <c r="BB4" i="71"/>
  <c r="BA4" i="71"/>
  <c r="AZ4" i="71"/>
  <c r="AY4" i="71"/>
  <c r="AX4" i="71"/>
  <c r="AW4" i="71"/>
  <c r="AU4" i="71"/>
  <c r="AT4" i="71"/>
  <c r="AQ4" i="71"/>
  <c r="AP4" i="71"/>
  <c r="AO4" i="71"/>
  <c r="AN4" i="71"/>
  <c r="AM4" i="71"/>
  <c r="AL4" i="71"/>
  <c r="AK4" i="71"/>
  <c r="AJ4" i="71"/>
  <c r="AI4" i="71"/>
  <c r="AG4" i="71"/>
  <c r="AF4" i="71"/>
  <c r="AE4" i="71"/>
  <c r="AD4" i="71"/>
  <c r="AC4" i="71"/>
  <c r="AB4" i="71"/>
  <c r="AA4" i="71"/>
  <c r="Z4" i="71"/>
  <c r="Y4" i="71"/>
  <c r="X4" i="71"/>
  <c r="W4" i="71"/>
  <c r="V4" i="71"/>
  <c r="U4" i="71"/>
  <c r="T4" i="71"/>
  <c r="S4" i="71"/>
  <c r="R4" i="71"/>
  <c r="P4" i="71"/>
  <c r="O4" i="71"/>
  <c r="L4" i="71"/>
  <c r="K4" i="71"/>
  <c r="J4" i="71"/>
  <c r="I4" i="71"/>
  <c r="H4" i="71"/>
  <c r="G4" i="71"/>
  <c r="F4" i="71"/>
  <c r="E4" i="71"/>
  <c r="D4" i="71"/>
  <c r="C4" i="71"/>
  <c r="DW3" i="71"/>
  <c r="DV3" i="71"/>
  <c r="DU3" i="71"/>
  <c r="DT3" i="71"/>
  <c r="DS3" i="71"/>
  <c r="DR3" i="71"/>
  <c r="DQ3" i="71"/>
  <c r="DP3" i="71"/>
  <c r="DO3" i="71"/>
  <c r="DN3" i="71"/>
  <c r="DM3" i="71"/>
  <c r="DL3" i="71"/>
  <c r="DK3" i="71"/>
  <c r="DJ3" i="71"/>
  <c r="DI3" i="71"/>
  <c r="DH3" i="71"/>
  <c r="DG3" i="71"/>
  <c r="DE3" i="71"/>
  <c r="DD3" i="71"/>
  <c r="DA3" i="71"/>
  <c r="CZ3" i="71"/>
  <c r="CY3" i="71"/>
  <c r="CX3" i="71"/>
  <c r="CW3" i="71"/>
  <c r="CV3" i="71"/>
  <c r="CU3" i="71"/>
  <c r="CT3" i="71"/>
  <c r="CS3" i="71"/>
  <c r="CR3" i="71"/>
  <c r="CQ3" i="71"/>
  <c r="CP3" i="71"/>
  <c r="CO3" i="71"/>
  <c r="CN3" i="71"/>
  <c r="CM3" i="71"/>
  <c r="CL3" i="71"/>
  <c r="CK3" i="71"/>
  <c r="CJ3" i="71"/>
  <c r="CI3" i="71"/>
  <c r="CH3" i="71"/>
  <c r="CG3" i="71"/>
  <c r="CF3" i="71"/>
  <c r="CE3" i="71"/>
  <c r="CD3" i="71"/>
  <c r="CC3" i="71"/>
  <c r="CB3" i="71"/>
  <c r="BZ3" i="71"/>
  <c r="BY3" i="71"/>
  <c r="BV3" i="71"/>
  <c r="BU3" i="71"/>
  <c r="BT3" i="71"/>
  <c r="BS3" i="71"/>
  <c r="BR3" i="71"/>
  <c r="BQ3" i="71"/>
  <c r="BP3" i="71"/>
  <c r="BO3" i="71"/>
  <c r="BN3" i="71"/>
  <c r="BM3" i="71"/>
  <c r="BL3" i="71"/>
  <c r="BK3" i="71"/>
  <c r="BJ3" i="71"/>
  <c r="BI3" i="71"/>
  <c r="BH3" i="71"/>
  <c r="BG3" i="71"/>
  <c r="BF3" i="71"/>
  <c r="BE3" i="71"/>
  <c r="BD3" i="71"/>
  <c r="BC3" i="71"/>
  <c r="BB3" i="71"/>
  <c r="BA3" i="71"/>
  <c r="AZ3" i="71"/>
  <c r="AY3" i="71"/>
  <c r="AX3" i="71"/>
  <c r="AW3" i="71"/>
  <c r="AU3" i="71"/>
  <c r="AT3" i="71"/>
  <c r="AQ3" i="71"/>
  <c r="AP3" i="71"/>
  <c r="AO3" i="71"/>
  <c r="AN3" i="71"/>
  <c r="AM3" i="71"/>
  <c r="AL3" i="71"/>
  <c r="AK3" i="71"/>
  <c r="AJ3" i="71"/>
  <c r="AI3" i="71"/>
  <c r="AH3" i="71"/>
  <c r="AG3" i="71"/>
  <c r="AF3" i="71"/>
  <c r="AE3" i="71"/>
  <c r="AD3" i="71"/>
  <c r="AC3" i="71"/>
  <c r="AB3" i="71"/>
  <c r="AA3" i="71"/>
  <c r="Z3" i="71"/>
  <c r="Y3" i="71"/>
  <c r="X3" i="71"/>
  <c r="W3" i="71"/>
  <c r="V3" i="71"/>
  <c r="U3" i="71"/>
  <c r="T3" i="71"/>
  <c r="S3" i="71"/>
  <c r="R3" i="71"/>
  <c r="P3" i="71"/>
  <c r="O3" i="71"/>
  <c r="L3" i="71"/>
  <c r="K3" i="71"/>
  <c r="J3" i="71"/>
  <c r="I3" i="71"/>
  <c r="H3" i="71"/>
  <c r="G3" i="71"/>
  <c r="F3" i="71"/>
  <c r="E3" i="71"/>
  <c r="D3" i="71"/>
  <c r="B3" i="71"/>
  <c r="C34" i="71" s="1"/>
  <c r="A34" i="71" s="1"/>
  <c r="DV2" i="71"/>
  <c r="DU2" i="71"/>
  <c r="DT2" i="71"/>
  <c r="DS2" i="71"/>
  <c r="DR2" i="71"/>
  <c r="DQ2" i="71"/>
  <c r="DP2" i="71"/>
  <c r="DO2" i="71"/>
  <c r="DN2" i="71"/>
  <c r="DM2" i="71"/>
  <c r="DL2" i="71"/>
  <c r="DK2" i="71"/>
  <c r="DJ2" i="71"/>
  <c r="DI2" i="71"/>
  <c r="DH2" i="71"/>
  <c r="DG2" i="71"/>
  <c r="DE2" i="71"/>
  <c r="DD2" i="71"/>
  <c r="DA2" i="71"/>
  <c r="CZ2" i="71"/>
  <c r="CY2" i="71"/>
  <c r="CX2" i="71"/>
  <c r="CW2" i="71"/>
  <c r="CV2" i="71"/>
  <c r="CU2" i="71"/>
  <c r="CT2" i="71"/>
  <c r="CS2" i="71"/>
  <c r="CQ2" i="71"/>
  <c r="CP2" i="71"/>
  <c r="CO2" i="71"/>
  <c r="CN2" i="71"/>
  <c r="CM2" i="71"/>
  <c r="CL2" i="71"/>
  <c r="CK2" i="71"/>
  <c r="CJ2" i="71"/>
  <c r="CI2" i="71"/>
  <c r="CH2" i="71"/>
  <c r="CG2" i="71"/>
  <c r="CF2" i="71"/>
  <c r="CE2" i="71"/>
  <c r="CD2" i="71"/>
  <c r="CC2" i="71"/>
  <c r="CB2" i="71"/>
  <c r="BZ2" i="71"/>
  <c r="BY2" i="71"/>
  <c r="BV2" i="71"/>
  <c r="BU2" i="71"/>
  <c r="BT2" i="71"/>
  <c r="BS2" i="71"/>
  <c r="BR2" i="71"/>
  <c r="BQ2" i="71"/>
  <c r="BP2" i="71"/>
  <c r="BO2" i="71"/>
  <c r="BN2" i="71"/>
  <c r="BL2" i="71"/>
  <c r="BK2" i="71"/>
  <c r="BJ2" i="71"/>
  <c r="BI2" i="71"/>
  <c r="BH2" i="71"/>
  <c r="BG2" i="71"/>
  <c r="BF2" i="71"/>
  <c r="BE2" i="71"/>
  <c r="BD2" i="71"/>
  <c r="BC2" i="71"/>
  <c r="BB2" i="71"/>
  <c r="BA2" i="71"/>
  <c r="AZ2" i="71"/>
  <c r="AY2" i="71"/>
  <c r="AX2" i="71"/>
  <c r="AW2" i="71"/>
  <c r="AU2" i="71"/>
  <c r="AT2" i="71"/>
  <c r="AQ2" i="71"/>
  <c r="AP2" i="71"/>
  <c r="AO2" i="71"/>
  <c r="AN2" i="71"/>
  <c r="AM2" i="71"/>
  <c r="AL2" i="71"/>
  <c r="AK2" i="71"/>
  <c r="AJ2" i="71"/>
  <c r="AI2" i="71"/>
  <c r="AG2" i="71"/>
  <c r="AF2" i="71"/>
  <c r="AE2" i="71"/>
  <c r="AD2" i="71"/>
  <c r="AC2" i="71"/>
  <c r="AB2" i="71"/>
  <c r="AA2" i="71"/>
  <c r="Z2" i="71"/>
  <c r="Y2" i="71"/>
  <c r="X2" i="71"/>
  <c r="W2" i="71"/>
  <c r="V2" i="71"/>
  <c r="U2" i="71"/>
  <c r="T2" i="71"/>
  <c r="S2" i="71"/>
  <c r="R2" i="71"/>
  <c r="P2" i="71"/>
  <c r="O2" i="71"/>
  <c r="L2" i="71"/>
  <c r="K2" i="71"/>
  <c r="J2" i="71"/>
  <c r="I2" i="71"/>
  <c r="H2" i="71"/>
  <c r="G2" i="71"/>
  <c r="F2" i="71"/>
  <c r="E2" i="71"/>
  <c r="D2" i="71"/>
  <c r="DV4" i="70"/>
  <c r="DU4" i="70"/>
  <c r="DT4" i="70"/>
  <c r="DS4" i="70"/>
  <c r="DR4" i="70"/>
  <c r="DQ4" i="70"/>
  <c r="DP4" i="70"/>
  <c r="DO4" i="70"/>
  <c r="DN4" i="70"/>
  <c r="DM4" i="70"/>
  <c r="DL4" i="70"/>
  <c r="DK4" i="70"/>
  <c r="DJ4" i="70"/>
  <c r="DI4" i="70"/>
  <c r="DH4" i="70"/>
  <c r="DG4" i="70"/>
  <c r="DE4" i="70"/>
  <c r="DD4" i="70"/>
  <c r="DA4" i="70"/>
  <c r="CZ4" i="70"/>
  <c r="CY4" i="70"/>
  <c r="CX4" i="70"/>
  <c r="CW4" i="70"/>
  <c r="CV4" i="70"/>
  <c r="CU4" i="70"/>
  <c r="CT4" i="70"/>
  <c r="CS4" i="70"/>
  <c r="CQ4" i="70"/>
  <c r="CP4" i="70"/>
  <c r="CO4" i="70"/>
  <c r="CN4" i="70"/>
  <c r="CM4" i="70"/>
  <c r="CL4" i="70"/>
  <c r="CK4" i="70"/>
  <c r="CJ4" i="70"/>
  <c r="CI4" i="70"/>
  <c r="CH4" i="70"/>
  <c r="CG4" i="70"/>
  <c r="CF4" i="70"/>
  <c r="CE4" i="70"/>
  <c r="CD4" i="70"/>
  <c r="CC4" i="70"/>
  <c r="CB4" i="70"/>
  <c r="BZ4" i="70"/>
  <c r="BY4" i="70"/>
  <c r="BV4" i="70"/>
  <c r="BU4" i="70"/>
  <c r="BT4" i="70"/>
  <c r="BS4" i="70"/>
  <c r="BR4" i="70"/>
  <c r="BQ4" i="70"/>
  <c r="BP4" i="70"/>
  <c r="BO4" i="70"/>
  <c r="BN4" i="70"/>
  <c r="BL4" i="70"/>
  <c r="BK4" i="70"/>
  <c r="BJ4" i="70"/>
  <c r="BI4" i="70"/>
  <c r="BH4" i="70"/>
  <c r="BG4" i="70"/>
  <c r="BF4" i="70"/>
  <c r="BE4" i="70"/>
  <c r="BD4" i="70"/>
  <c r="BC4" i="70"/>
  <c r="BB4" i="70"/>
  <c r="BA4" i="70"/>
  <c r="AZ4" i="70"/>
  <c r="AY4" i="70"/>
  <c r="AX4" i="70"/>
  <c r="AW4" i="70"/>
  <c r="AU4" i="70"/>
  <c r="AT4" i="70"/>
  <c r="AQ4" i="70"/>
  <c r="AP4" i="70"/>
  <c r="AO4" i="70"/>
  <c r="AN4" i="70"/>
  <c r="AM4" i="70"/>
  <c r="AL4" i="70"/>
  <c r="AK4" i="70"/>
  <c r="AJ4" i="70"/>
  <c r="AI4" i="70"/>
  <c r="AG4" i="70"/>
  <c r="AF4" i="70"/>
  <c r="AE4" i="70"/>
  <c r="AD4" i="70"/>
  <c r="AC4" i="70"/>
  <c r="AB4" i="70"/>
  <c r="AA4" i="70"/>
  <c r="Z4" i="70"/>
  <c r="Y4" i="70"/>
  <c r="X4" i="70"/>
  <c r="W4" i="70"/>
  <c r="V4" i="70"/>
  <c r="U4" i="70"/>
  <c r="T4" i="70"/>
  <c r="S4" i="70"/>
  <c r="R4" i="70"/>
  <c r="P4" i="70"/>
  <c r="O4" i="70"/>
  <c r="L4" i="70"/>
  <c r="K4" i="70"/>
  <c r="J4" i="70"/>
  <c r="I4" i="70"/>
  <c r="H4" i="70"/>
  <c r="G4" i="70"/>
  <c r="F4" i="70"/>
  <c r="E4" i="70"/>
  <c r="D4" i="70"/>
  <c r="C4" i="70"/>
  <c r="DW3" i="70"/>
  <c r="DV3" i="70"/>
  <c r="DU3" i="70"/>
  <c r="DT3" i="70"/>
  <c r="DS3" i="70"/>
  <c r="DR3" i="70"/>
  <c r="DQ3" i="70"/>
  <c r="DP3" i="70"/>
  <c r="DO3" i="70"/>
  <c r="DN3" i="70"/>
  <c r="DM3" i="70"/>
  <c r="DL3" i="70"/>
  <c r="DK3" i="70"/>
  <c r="DJ3" i="70"/>
  <c r="DI3" i="70"/>
  <c r="DH3" i="70"/>
  <c r="DG3" i="70"/>
  <c r="DE3" i="70"/>
  <c r="DD3" i="70"/>
  <c r="DA3" i="70"/>
  <c r="CZ3" i="70"/>
  <c r="CY3" i="70"/>
  <c r="CX3" i="70"/>
  <c r="CW3" i="70"/>
  <c r="CV3" i="70"/>
  <c r="CU3" i="70"/>
  <c r="CT3" i="70"/>
  <c r="CS3" i="70"/>
  <c r="CR3" i="70"/>
  <c r="CQ3" i="70"/>
  <c r="CP3" i="70"/>
  <c r="CO3" i="70"/>
  <c r="CN3" i="70"/>
  <c r="CM3" i="70"/>
  <c r="CL3" i="70"/>
  <c r="CK3" i="70"/>
  <c r="CJ3" i="70"/>
  <c r="CI3" i="70"/>
  <c r="CH3" i="70"/>
  <c r="CG3" i="70"/>
  <c r="CF3" i="70"/>
  <c r="CE3" i="70"/>
  <c r="CD3" i="70"/>
  <c r="CC3" i="70"/>
  <c r="CB3" i="70"/>
  <c r="BZ3" i="70"/>
  <c r="BY3" i="70"/>
  <c r="BV3" i="70"/>
  <c r="BU3" i="70"/>
  <c r="BT3" i="70"/>
  <c r="BS3" i="70"/>
  <c r="BR3" i="70"/>
  <c r="BQ3" i="70"/>
  <c r="BP3" i="70"/>
  <c r="BO3" i="70"/>
  <c r="BN3" i="70"/>
  <c r="BM3" i="70"/>
  <c r="BL3" i="70"/>
  <c r="BK3" i="70"/>
  <c r="BJ3" i="70"/>
  <c r="BI3" i="70"/>
  <c r="BH3" i="70"/>
  <c r="BG3" i="70"/>
  <c r="BF3" i="70"/>
  <c r="BE3" i="70"/>
  <c r="BD3" i="70"/>
  <c r="BC3" i="70"/>
  <c r="BB3" i="70"/>
  <c r="BA3" i="70"/>
  <c r="AZ3" i="70"/>
  <c r="AY3" i="70"/>
  <c r="AX3" i="70"/>
  <c r="AW3" i="70"/>
  <c r="AU3" i="70"/>
  <c r="AT3" i="70"/>
  <c r="AQ3" i="70"/>
  <c r="AP3" i="70"/>
  <c r="AO3" i="70"/>
  <c r="AN3" i="70"/>
  <c r="AM3" i="70"/>
  <c r="AL3" i="70"/>
  <c r="AK3" i="70"/>
  <c r="AJ3" i="70"/>
  <c r="AI3" i="70"/>
  <c r="AH3" i="70"/>
  <c r="AG3" i="70"/>
  <c r="AF3" i="70"/>
  <c r="AE3" i="70"/>
  <c r="AD3" i="70"/>
  <c r="AC3" i="70"/>
  <c r="AB3" i="70"/>
  <c r="AA3" i="70"/>
  <c r="Z3" i="70"/>
  <c r="Y3" i="70"/>
  <c r="X3" i="70"/>
  <c r="W3" i="70"/>
  <c r="V3" i="70"/>
  <c r="U3" i="70"/>
  <c r="T3" i="70"/>
  <c r="S3" i="70"/>
  <c r="R3" i="70"/>
  <c r="P3" i="70"/>
  <c r="O3" i="70"/>
  <c r="L3" i="70"/>
  <c r="K3" i="70"/>
  <c r="J3" i="70"/>
  <c r="I3" i="70"/>
  <c r="H3" i="70"/>
  <c r="G3" i="70"/>
  <c r="F3" i="70"/>
  <c r="E3" i="70"/>
  <c r="D3" i="70"/>
  <c r="B3" i="70"/>
  <c r="C33" i="70" s="1"/>
  <c r="A33" i="70" s="1"/>
  <c r="DV2" i="70"/>
  <c r="DU2" i="70"/>
  <c r="DT2" i="70"/>
  <c r="DS2" i="70"/>
  <c r="DR2" i="70"/>
  <c r="DQ2" i="70"/>
  <c r="DP2" i="70"/>
  <c r="DO2" i="70"/>
  <c r="DN2" i="70"/>
  <c r="DM2" i="70"/>
  <c r="DL2" i="70"/>
  <c r="DK2" i="70"/>
  <c r="DJ2" i="70"/>
  <c r="DI2" i="70"/>
  <c r="DH2" i="70"/>
  <c r="DG2" i="70"/>
  <c r="DE2" i="70"/>
  <c r="DD2" i="70"/>
  <c r="DA2" i="70"/>
  <c r="CZ2" i="70"/>
  <c r="CY2" i="70"/>
  <c r="CX2" i="70"/>
  <c r="CW2" i="70"/>
  <c r="CV2" i="70"/>
  <c r="CU2" i="70"/>
  <c r="CT2" i="70"/>
  <c r="CS2" i="70"/>
  <c r="CQ2" i="70"/>
  <c r="CP2" i="70"/>
  <c r="CO2" i="70"/>
  <c r="CN2" i="70"/>
  <c r="CM2" i="70"/>
  <c r="CL2" i="70"/>
  <c r="CK2" i="70"/>
  <c r="CJ2" i="70"/>
  <c r="CI2" i="70"/>
  <c r="CH2" i="70"/>
  <c r="CG2" i="70"/>
  <c r="CF2" i="70"/>
  <c r="CE2" i="70"/>
  <c r="CD2" i="70"/>
  <c r="CC2" i="70"/>
  <c r="CB2" i="70"/>
  <c r="BZ2" i="70"/>
  <c r="BY2" i="70"/>
  <c r="BV2" i="70"/>
  <c r="BU2" i="70"/>
  <c r="BT2" i="70"/>
  <c r="BS2" i="70"/>
  <c r="BR2" i="70"/>
  <c r="BQ2" i="70"/>
  <c r="BP2" i="70"/>
  <c r="BO2" i="70"/>
  <c r="BN2" i="70"/>
  <c r="BL2" i="70"/>
  <c r="BK2" i="70"/>
  <c r="BJ2" i="70"/>
  <c r="BI2" i="70"/>
  <c r="BH2" i="70"/>
  <c r="BG2" i="70"/>
  <c r="BF2" i="70"/>
  <c r="BE2" i="70"/>
  <c r="BD2" i="70"/>
  <c r="BC2" i="70"/>
  <c r="BB2" i="70"/>
  <c r="BA2" i="70"/>
  <c r="AZ2" i="70"/>
  <c r="AY2" i="70"/>
  <c r="AX2" i="70"/>
  <c r="AW2" i="70"/>
  <c r="AU2" i="70"/>
  <c r="AT2" i="70"/>
  <c r="AQ2" i="70"/>
  <c r="AP2" i="70"/>
  <c r="AO2" i="70"/>
  <c r="AN2" i="70"/>
  <c r="AM2" i="70"/>
  <c r="AL2" i="70"/>
  <c r="AK2" i="70"/>
  <c r="AJ2" i="70"/>
  <c r="AI2" i="70"/>
  <c r="AG2" i="70"/>
  <c r="AF2" i="70"/>
  <c r="AE2" i="70"/>
  <c r="AD2" i="70"/>
  <c r="AC2" i="70"/>
  <c r="AB2" i="70"/>
  <c r="AA2" i="70"/>
  <c r="Z2" i="70"/>
  <c r="Y2" i="70"/>
  <c r="X2" i="70"/>
  <c r="W2" i="70"/>
  <c r="V2" i="70"/>
  <c r="U2" i="70"/>
  <c r="T2" i="70"/>
  <c r="S2" i="70"/>
  <c r="R2" i="70"/>
  <c r="P2" i="70"/>
  <c r="O2" i="70"/>
  <c r="L2" i="70"/>
  <c r="K2" i="70"/>
  <c r="J2" i="70"/>
  <c r="I2" i="70"/>
  <c r="H2" i="70"/>
  <c r="G2" i="70"/>
  <c r="F2" i="70"/>
  <c r="E2" i="70"/>
  <c r="D2" i="70"/>
  <c r="DV4" i="69"/>
  <c r="DU4" i="69"/>
  <c r="DT4" i="69"/>
  <c r="DS4" i="69"/>
  <c r="DR4" i="69"/>
  <c r="DQ4" i="69"/>
  <c r="DP4" i="69"/>
  <c r="DO4" i="69"/>
  <c r="DN4" i="69"/>
  <c r="DM4" i="69"/>
  <c r="DL4" i="69"/>
  <c r="DK4" i="69"/>
  <c r="DJ4" i="69"/>
  <c r="DI4" i="69"/>
  <c r="DH4" i="69"/>
  <c r="DG4" i="69"/>
  <c r="DE4" i="69"/>
  <c r="DD4" i="69"/>
  <c r="DA4" i="69"/>
  <c r="CZ4" i="69"/>
  <c r="CY4" i="69"/>
  <c r="CX4" i="69"/>
  <c r="CW4" i="69"/>
  <c r="CV4" i="69"/>
  <c r="CU4" i="69"/>
  <c r="CT4" i="69"/>
  <c r="CS4" i="69"/>
  <c r="CQ4" i="69"/>
  <c r="CP4" i="69"/>
  <c r="CO4" i="69"/>
  <c r="CN4" i="69"/>
  <c r="CM4" i="69"/>
  <c r="CL4" i="69"/>
  <c r="CK4" i="69"/>
  <c r="CJ4" i="69"/>
  <c r="CI4" i="69"/>
  <c r="CH4" i="69"/>
  <c r="CG4" i="69"/>
  <c r="CF4" i="69"/>
  <c r="CE4" i="69"/>
  <c r="CD4" i="69"/>
  <c r="CC4" i="69"/>
  <c r="CB4" i="69"/>
  <c r="BZ4" i="69"/>
  <c r="BY4" i="69"/>
  <c r="BV4" i="69"/>
  <c r="BU4" i="69"/>
  <c r="BT4" i="69"/>
  <c r="BS4" i="69"/>
  <c r="BR4" i="69"/>
  <c r="BQ4" i="69"/>
  <c r="BP4" i="69"/>
  <c r="BO4" i="69"/>
  <c r="BN4" i="69"/>
  <c r="BL4" i="69"/>
  <c r="BK4" i="69"/>
  <c r="BJ4" i="69"/>
  <c r="BI4" i="69"/>
  <c r="BH4" i="69"/>
  <c r="BG4" i="69"/>
  <c r="BF4" i="69"/>
  <c r="BE4" i="69"/>
  <c r="BD4" i="69"/>
  <c r="BC4" i="69"/>
  <c r="BB4" i="69"/>
  <c r="BA4" i="69"/>
  <c r="AZ4" i="69"/>
  <c r="AY4" i="69"/>
  <c r="AX4" i="69"/>
  <c r="AW4" i="69"/>
  <c r="AU4" i="69"/>
  <c r="AT4" i="69"/>
  <c r="AQ4" i="69"/>
  <c r="AP4" i="69"/>
  <c r="AO4" i="69"/>
  <c r="AN4" i="69"/>
  <c r="AM4" i="69"/>
  <c r="AL4" i="69"/>
  <c r="AK4" i="69"/>
  <c r="AJ4" i="69"/>
  <c r="AI4" i="69"/>
  <c r="AG4" i="69"/>
  <c r="AF4" i="69"/>
  <c r="AE4" i="69"/>
  <c r="AD4" i="69"/>
  <c r="AC4" i="69"/>
  <c r="AB4" i="69"/>
  <c r="AA4" i="69"/>
  <c r="Z4" i="69"/>
  <c r="Y4" i="69"/>
  <c r="X4" i="69"/>
  <c r="W4" i="69"/>
  <c r="V4" i="69"/>
  <c r="U4" i="69"/>
  <c r="T4" i="69"/>
  <c r="S4" i="69"/>
  <c r="R4" i="69"/>
  <c r="P4" i="69"/>
  <c r="O4" i="69"/>
  <c r="L4" i="69"/>
  <c r="K4" i="69"/>
  <c r="J4" i="69"/>
  <c r="I4" i="69"/>
  <c r="H4" i="69"/>
  <c r="G4" i="69"/>
  <c r="F4" i="69"/>
  <c r="E4" i="69"/>
  <c r="D4" i="69"/>
  <c r="C4" i="69"/>
  <c r="DW3" i="69"/>
  <c r="DV3" i="69"/>
  <c r="DU3" i="69"/>
  <c r="DT3" i="69"/>
  <c r="DS3" i="69"/>
  <c r="DR3" i="69"/>
  <c r="DQ3" i="69"/>
  <c r="DP3" i="69"/>
  <c r="DO3" i="69"/>
  <c r="DN3" i="69"/>
  <c r="DM3" i="69"/>
  <c r="DL3" i="69"/>
  <c r="DK3" i="69"/>
  <c r="DJ3" i="69"/>
  <c r="DI3" i="69"/>
  <c r="DH3" i="69"/>
  <c r="DG3" i="69"/>
  <c r="DE3" i="69"/>
  <c r="DD3" i="69"/>
  <c r="DA3" i="69"/>
  <c r="CZ3" i="69"/>
  <c r="CY3" i="69"/>
  <c r="CX3" i="69"/>
  <c r="CW3" i="69"/>
  <c r="CV3" i="69"/>
  <c r="CU3" i="69"/>
  <c r="CT3" i="69"/>
  <c r="CS3" i="69"/>
  <c r="CR3" i="69"/>
  <c r="CQ3" i="69"/>
  <c r="CP3" i="69"/>
  <c r="CO3" i="69"/>
  <c r="CN3" i="69"/>
  <c r="CM3" i="69"/>
  <c r="CL3" i="69"/>
  <c r="CK3" i="69"/>
  <c r="CJ3" i="69"/>
  <c r="CI3" i="69"/>
  <c r="CH3" i="69"/>
  <c r="CG3" i="69"/>
  <c r="CF3" i="69"/>
  <c r="CE3" i="69"/>
  <c r="CD3" i="69"/>
  <c r="CC3" i="69"/>
  <c r="CB3" i="69"/>
  <c r="BZ3" i="69"/>
  <c r="BY3" i="69"/>
  <c r="BV3" i="69"/>
  <c r="BU3" i="69"/>
  <c r="BT3" i="69"/>
  <c r="BS3" i="69"/>
  <c r="BR3" i="69"/>
  <c r="BQ3" i="69"/>
  <c r="BP3" i="69"/>
  <c r="BO3" i="69"/>
  <c r="BN3" i="69"/>
  <c r="BM3" i="69"/>
  <c r="BL3" i="69"/>
  <c r="BK3" i="69"/>
  <c r="BJ3" i="69"/>
  <c r="BI3" i="69"/>
  <c r="BH3" i="69"/>
  <c r="BG3" i="69"/>
  <c r="BF3" i="69"/>
  <c r="BE3" i="69"/>
  <c r="BD3" i="69"/>
  <c r="BC3" i="69"/>
  <c r="BB3" i="69"/>
  <c r="BA3" i="69"/>
  <c r="AZ3" i="69"/>
  <c r="AY3" i="69"/>
  <c r="AX3" i="69"/>
  <c r="AW3" i="69"/>
  <c r="AU3" i="69"/>
  <c r="AT3" i="69"/>
  <c r="AQ3" i="69"/>
  <c r="AP3" i="69"/>
  <c r="AO3" i="69"/>
  <c r="AN3" i="69"/>
  <c r="AM3" i="69"/>
  <c r="AL3" i="69"/>
  <c r="AK3" i="69"/>
  <c r="AJ3" i="69"/>
  <c r="AI3" i="69"/>
  <c r="AH3" i="69"/>
  <c r="AG3" i="69"/>
  <c r="AF3" i="69"/>
  <c r="AE3" i="69"/>
  <c r="AD3" i="69"/>
  <c r="AC3" i="69"/>
  <c r="AB3" i="69"/>
  <c r="AA3" i="69"/>
  <c r="Z3" i="69"/>
  <c r="Y3" i="69"/>
  <c r="X3" i="69"/>
  <c r="W3" i="69"/>
  <c r="V3" i="69"/>
  <c r="U3" i="69"/>
  <c r="T3" i="69"/>
  <c r="S3" i="69"/>
  <c r="R3" i="69"/>
  <c r="P3" i="69"/>
  <c r="O3" i="69"/>
  <c r="L3" i="69"/>
  <c r="K3" i="69"/>
  <c r="J3" i="69"/>
  <c r="I3" i="69"/>
  <c r="H3" i="69"/>
  <c r="G3" i="69"/>
  <c r="F3" i="69"/>
  <c r="E3" i="69"/>
  <c r="D3" i="69"/>
  <c r="B3" i="69"/>
  <c r="C33" i="69" s="1"/>
  <c r="A33" i="69" s="1"/>
  <c r="DV2" i="69"/>
  <c r="DU2" i="69"/>
  <c r="DT2" i="69"/>
  <c r="DS2" i="69"/>
  <c r="DR2" i="69"/>
  <c r="DQ2" i="69"/>
  <c r="DP2" i="69"/>
  <c r="DO2" i="69"/>
  <c r="DN2" i="69"/>
  <c r="DM2" i="69"/>
  <c r="DL2" i="69"/>
  <c r="DK2" i="69"/>
  <c r="DJ2" i="69"/>
  <c r="DI2" i="69"/>
  <c r="DH2" i="69"/>
  <c r="DG2" i="69"/>
  <c r="DE2" i="69"/>
  <c r="DD2" i="69"/>
  <c r="DA2" i="69"/>
  <c r="CZ2" i="69"/>
  <c r="CY2" i="69"/>
  <c r="CX2" i="69"/>
  <c r="CW2" i="69"/>
  <c r="CV2" i="69"/>
  <c r="CU2" i="69"/>
  <c r="CT2" i="69"/>
  <c r="CS2" i="69"/>
  <c r="CQ2" i="69"/>
  <c r="CP2" i="69"/>
  <c r="CO2" i="69"/>
  <c r="CN2" i="69"/>
  <c r="CM2" i="69"/>
  <c r="CL2" i="69"/>
  <c r="CK2" i="69"/>
  <c r="CJ2" i="69"/>
  <c r="CI2" i="69"/>
  <c r="CH2" i="69"/>
  <c r="CG2" i="69"/>
  <c r="CF2" i="69"/>
  <c r="CE2" i="69"/>
  <c r="CD2" i="69"/>
  <c r="CC2" i="69"/>
  <c r="CB2" i="69"/>
  <c r="BZ2" i="69"/>
  <c r="BY2" i="69"/>
  <c r="BV2" i="69"/>
  <c r="BU2" i="69"/>
  <c r="BT2" i="69"/>
  <c r="BS2" i="69"/>
  <c r="BR2" i="69"/>
  <c r="BQ2" i="69"/>
  <c r="BP2" i="69"/>
  <c r="BO2" i="69"/>
  <c r="BN2" i="69"/>
  <c r="BL2" i="69"/>
  <c r="BK2" i="69"/>
  <c r="BJ2" i="69"/>
  <c r="BI2" i="69"/>
  <c r="BH2" i="69"/>
  <c r="BG2" i="69"/>
  <c r="BF2" i="69"/>
  <c r="BE2" i="69"/>
  <c r="BD2" i="69"/>
  <c r="BC2" i="69"/>
  <c r="BB2" i="69"/>
  <c r="BA2" i="69"/>
  <c r="AZ2" i="69"/>
  <c r="AY2" i="69"/>
  <c r="AX2" i="69"/>
  <c r="AW2" i="69"/>
  <c r="AU2" i="69"/>
  <c r="AT2" i="69"/>
  <c r="AQ2" i="69"/>
  <c r="AP2" i="69"/>
  <c r="AO2" i="69"/>
  <c r="AN2" i="69"/>
  <c r="AM2" i="69"/>
  <c r="AL2" i="69"/>
  <c r="AK2" i="69"/>
  <c r="AJ2" i="69"/>
  <c r="AI2" i="69"/>
  <c r="AG2" i="69"/>
  <c r="AF2" i="69"/>
  <c r="AE2" i="69"/>
  <c r="AD2" i="69"/>
  <c r="AC2" i="69"/>
  <c r="AB2" i="69"/>
  <c r="AA2" i="69"/>
  <c r="Z2" i="69"/>
  <c r="Y2" i="69"/>
  <c r="X2" i="69"/>
  <c r="W2" i="69"/>
  <c r="V2" i="69"/>
  <c r="U2" i="69"/>
  <c r="T2" i="69"/>
  <c r="S2" i="69"/>
  <c r="R2" i="69"/>
  <c r="P2" i="69"/>
  <c r="O2" i="69"/>
  <c r="L2" i="69"/>
  <c r="K2" i="69"/>
  <c r="J2" i="69"/>
  <c r="I2" i="69"/>
  <c r="H2" i="69"/>
  <c r="G2" i="69"/>
  <c r="F2" i="69"/>
  <c r="E2" i="69"/>
  <c r="D2" i="69"/>
  <c r="DV4" i="68"/>
  <c r="DU4" i="68"/>
  <c r="DT4" i="68"/>
  <c r="DS4" i="68"/>
  <c r="DR4" i="68"/>
  <c r="DQ4" i="68"/>
  <c r="DP4" i="68"/>
  <c r="DO4" i="68"/>
  <c r="DN4" i="68"/>
  <c r="DM4" i="68"/>
  <c r="DL4" i="68"/>
  <c r="DK4" i="68"/>
  <c r="DJ4" i="68"/>
  <c r="DI4" i="68"/>
  <c r="DH4" i="68"/>
  <c r="DG4" i="68"/>
  <c r="DE4" i="68"/>
  <c r="DD4" i="68"/>
  <c r="DA4" i="68"/>
  <c r="CZ4" i="68"/>
  <c r="CY4" i="68"/>
  <c r="CX4" i="68"/>
  <c r="CW4" i="68"/>
  <c r="CV4" i="68"/>
  <c r="CU4" i="68"/>
  <c r="CT4" i="68"/>
  <c r="CS4" i="68"/>
  <c r="CQ4" i="68"/>
  <c r="CP4" i="68"/>
  <c r="CO4" i="68"/>
  <c r="CN4" i="68"/>
  <c r="CM4" i="68"/>
  <c r="CL4" i="68"/>
  <c r="CK4" i="68"/>
  <c r="CJ4" i="68"/>
  <c r="CI4" i="68"/>
  <c r="CH4" i="68"/>
  <c r="CG4" i="68"/>
  <c r="CF4" i="68"/>
  <c r="CE4" i="68"/>
  <c r="CD4" i="68"/>
  <c r="CC4" i="68"/>
  <c r="CB4" i="68"/>
  <c r="BZ4" i="68"/>
  <c r="BY4" i="68"/>
  <c r="BV4" i="68"/>
  <c r="BU4" i="68"/>
  <c r="BT4" i="68"/>
  <c r="BS4" i="68"/>
  <c r="BR4" i="68"/>
  <c r="BQ4" i="68"/>
  <c r="BP4" i="68"/>
  <c r="BO4" i="68"/>
  <c r="BN4" i="68"/>
  <c r="BL4" i="68"/>
  <c r="BK4" i="68"/>
  <c r="BJ4" i="68"/>
  <c r="BI4" i="68"/>
  <c r="BH4" i="68"/>
  <c r="BG4" i="68"/>
  <c r="BF4" i="68"/>
  <c r="BE4" i="68"/>
  <c r="BD4" i="68"/>
  <c r="BC4" i="68"/>
  <c r="BB4" i="68"/>
  <c r="BA4" i="68"/>
  <c r="AZ4" i="68"/>
  <c r="AY4" i="68"/>
  <c r="AX4" i="68"/>
  <c r="AW4" i="68"/>
  <c r="AU4" i="68"/>
  <c r="AT4" i="68"/>
  <c r="AQ4" i="68"/>
  <c r="AP4" i="68"/>
  <c r="AO4" i="68"/>
  <c r="AN4" i="68"/>
  <c r="AM4" i="68"/>
  <c r="AL4" i="68"/>
  <c r="AK4" i="68"/>
  <c r="AJ4" i="68"/>
  <c r="AI4" i="68"/>
  <c r="AG4" i="68"/>
  <c r="AF4" i="68"/>
  <c r="AE4" i="68"/>
  <c r="AD4" i="68"/>
  <c r="AC4" i="68"/>
  <c r="AB4" i="68"/>
  <c r="AA4" i="68"/>
  <c r="Z4" i="68"/>
  <c r="Y4" i="68"/>
  <c r="X4" i="68"/>
  <c r="W4" i="68"/>
  <c r="V4" i="68"/>
  <c r="U4" i="68"/>
  <c r="T4" i="68"/>
  <c r="S4" i="68"/>
  <c r="R4" i="68"/>
  <c r="P4" i="68"/>
  <c r="O4" i="68"/>
  <c r="L4" i="68"/>
  <c r="K4" i="68"/>
  <c r="J4" i="68"/>
  <c r="I4" i="68"/>
  <c r="H4" i="68"/>
  <c r="G4" i="68"/>
  <c r="F4" i="68"/>
  <c r="E4" i="68"/>
  <c r="D4" i="68"/>
  <c r="C4" i="68"/>
  <c r="DW3" i="68"/>
  <c r="DV3" i="68"/>
  <c r="DU3" i="68"/>
  <c r="DT3" i="68"/>
  <c r="DS3" i="68"/>
  <c r="DR3" i="68"/>
  <c r="DQ3" i="68"/>
  <c r="DP3" i="68"/>
  <c r="DO3" i="68"/>
  <c r="DN3" i="68"/>
  <c r="DM3" i="68"/>
  <c r="DL3" i="68"/>
  <c r="DK3" i="68"/>
  <c r="DJ3" i="68"/>
  <c r="DI3" i="68"/>
  <c r="DH3" i="68"/>
  <c r="DG3" i="68"/>
  <c r="DE3" i="68"/>
  <c r="DD3" i="68"/>
  <c r="DA3" i="68"/>
  <c r="CZ3" i="68"/>
  <c r="CY3" i="68"/>
  <c r="CX3" i="68"/>
  <c r="CW3" i="68"/>
  <c r="CV3" i="68"/>
  <c r="CU3" i="68"/>
  <c r="CT3" i="68"/>
  <c r="CS3" i="68"/>
  <c r="CR3" i="68"/>
  <c r="CQ3" i="68"/>
  <c r="CP3" i="68"/>
  <c r="CO3" i="68"/>
  <c r="CN3" i="68"/>
  <c r="CM3" i="68"/>
  <c r="CL3" i="68"/>
  <c r="CK3" i="68"/>
  <c r="CJ3" i="68"/>
  <c r="CI3" i="68"/>
  <c r="CH3" i="68"/>
  <c r="CG3" i="68"/>
  <c r="CF3" i="68"/>
  <c r="CE3" i="68"/>
  <c r="CD3" i="68"/>
  <c r="CC3" i="68"/>
  <c r="CB3" i="68"/>
  <c r="BZ3" i="68"/>
  <c r="BY3" i="68"/>
  <c r="BV3" i="68"/>
  <c r="BU3" i="68"/>
  <c r="BT3" i="68"/>
  <c r="BS3" i="68"/>
  <c r="BR3" i="68"/>
  <c r="BQ3" i="68"/>
  <c r="BP3" i="68"/>
  <c r="BO3" i="68"/>
  <c r="BN3" i="68"/>
  <c r="BM3" i="68"/>
  <c r="BL3" i="68"/>
  <c r="BK3" i="68"/>
  <c r="BJ3" i="68"/>
  <c r="BI3" i="68"/>
  <c r="BH3" i="68"/>
  <c r="BG3" i="68"/>
  <c r="BF3" i="68"/>
  <c r="BE3" i="68"/>
  <c r="BD3" i="68"/>
  <c r="BC3" i="68"/>
  <c r="BB3" i="68"/>
  <c r="BA3" i="68"/>
  <c r="AZ3" i="68"/>
  <c r="AY3" i="68"/>
  <c r="AX3" i="68"/>
  <c r="AW3" i="68"/>
  <c r="AU3" i="68"/>
  <c r="AT3" i="68"/>
  <c r="AQ3" i="68"/>
  <c r="AP3" i="68"/>
  <c r="AO3" i="68"/>
  <c r="AN3" i="68"/>
  <c r="AM3" i="68"/>
  <c r="AL3" i="68"/>
  <c r="AK3" i="68"/>
  <c r="AJ3" i="68"/>
  <c r="AI3" i="68"/>
  <c r="AH3" i="68"/>
  <c r="AG3" i="68"/>
  <c r="AF3" i="68"/>
  <c r="AE3" i="68"/>
  <c r="AD3" i="68"/>
  <c r="AC3" i="68"/>
  <c r="AB3" i="68"/>
  <c r="AA3" i="68"/>
  <c r="Z3" i="68"/>
  <c r="Y3" i="68"/>
  <c r="X3" i="68"/>
  <c r="W3" i="68"/>
  <c r="V3" i="68"/>
  <c r="U3" i="68"/>
  <c r="T3" i="68"/>
  <c r="S3" i="68"/>
  <c r="R3" i="68"/>
  <c r="P3" i="68"/>
  <c r="O3" i="68"/>
  <c r="L3" i="68"/>
  <c r="K3" i="68"/>
  <c r="J3" i="68"/>
  <c r="I3" i="68"/>
  <c r="H3" i="68"/>
  <c r="G3" i="68"/>
  <c r="F3" i="68"/>
  <c r="E3" i="68"/>
  <c r="D3" i="68"/>
  <c r="B3" i="68"/>
  <c r="C34" i="68" s="1"/>
  <c r="A34" i="68" s="1"/>
  <c r="DV2" i="68"/>
  <c r="DU2" i="68"/>
  <c r="DT2" i="68"/>
  <c r="DS2" i="68"/>
  <c r="DR2" i="68"/>
  <c r="DQ2" i="68"/>
  <c r="DP2" i="68"/>
  <c r="DO2" i="68"/>
  <c r="DN2" i="68"/>
  <c r="DM2" i="68"/>
  <c r="DL2" i="68"/>
  <c r="DK2" i="68"/>
  <c r="DJ2" i="68"/>
  <c r="DI2" i="68"/>
  <c r="DH2" i="68"/>
  <c r="DG2" i="68"/>
  <c r="DE2" i="68"/>
  <c r="DD2" i="68"/>
  <c r="DA2" i="68"/>
  <c r="CZ2" i="68"/>
  <c r="CY2" i="68"/>
  <c r="CX2" i="68"/>
  <c r="CW2" i="68"/>
  <c r="CV2" i="68"/>
  <c r="CU2" i="68"/>
  <c r="CT2" i="68"/>
  <c r="CS2" i="68"/>
  <c r="CQ2" i="68"/>
  <c r="CP2" i="68"/>
  <c r="CO2" i="68"/>
  <c r="CN2" i="68"/>
  <c r="CM2" i="68"/>
  <c r="CL2" i="68"/>
  <c r="CK2" i="68"/>
  <c r="CJ2" i="68"/>
  <c r="CI2" i="68"/>
  <c r="CH2" i="68"/>
  <c r="CG2" i="68"/>
  <c r="CF2" i="68"/>
  <c r="CE2" i="68"/>
  <c r="CD2" i="68"/>
  <c r="CC2" i="68"/>
  <c r="CB2" i="68"/>
  <c r="BZ2" i="68"/>
  <c r="BY2" i="68"/>
  <c r="BV2" i="68"/>
  <c r="BU2" i="68"/>
  <c r="BT2" i="68"/>
  <c r="BS2" i="68"/>
  <c r="BR2" i="68"/>
  <c r="BQ2" i="68"/>
  <c r="BP2" i="68"/>
  <c r="BO2" i="68"/>
  <c r="BN2" i="68"/>
  <c r="BL2" i="68"/>
  <c r="BK2" i="68"/>
  <c r="BJ2" i="68"/>
  <c r="BI2" i="68"/>
  <c r="BH2" i="68"/>
  <c r="BG2" i="68"/>
  <c r="BF2" i="68"/>
  <c r="BE2" i="68"/>
  <c r="BD2" i="68"/>
  <c r="BC2" i="68"/>
  <c r="BB2" i="68"/>
  <c r="BA2" i="68"/>
  <c r="AZ2" i="68"/>
  <c r="AY2" i="68"/>
  <c r="AX2" i="68"/>
  <c r="AW2" i="68"/>
  <c r="AU2" i="68"/>
  <c r="AT2" i="68"/>
  <c r="AQ2" i="68"/>
  <c r="AP2" i="68"/>
  <c r="AO2" i="68"/>
  <c r="AN2" i="68"/>
  <c r="AM2" i="68"/>
  <c r="AL2" i="68"/>
  <c r="AK2" i="68"/>
  <c r="AJ2" i="68"/>
  <c r="AI2" i="68"/>
  <c r="AG2" i="68"/>
  <c r="AF2" i="68"/>
  <c r="AE2" i="68"/>
  <c r="AD2" i="68"/>
  <c r="AC2" i="68"/>
  <c r="AB2" i="68"/>
  <c r="AA2" i="68"/>
  <c r="Z2" i="68"/>
  <c r="Y2" i="68"/>
  <c r="X2" i="68"/>
  <c r="W2" i="68"/>
  <c r="V2" i="68"/>
  <c r="U2" i="68"/>
  <c r="T2" i="68"/>
  <c r="S2" i="68"/>
  <c r="R2" i="68"/>
  <c r="P2" i="68"/>
  <c r="O2" i="68"/>
  <c r="L2" i="68"/>
  <c r="K2" i="68"/>
  <c r="J2" i="68"/>
  <c r="I2" i="68"/>
  <c r="H2" i="68"/>
  <c r="G2" i="68"/>
  <c r="F2" i="68"/>
  <c r="E2" i="68"/>
  <c r="D2" i="68"/>
  <c r="DV4" i="67"/>
  <c r="DU4" i="67"/>
  <c r="DT4" i="67"/>
  <c r="DS4" i="67"/>
  <c r="DR4" i="67"/>
  <c r="DQ4" i="67"/>
  <c r="DP4" i="67"/>
  <c r="DO4" i="67"/>
  <c r="DN4" i="67"/>
  <c r="DM4" i="67"/>
  <c r="DL4" i="67"/>
  <c r="DK4" i="67"/>
  <c r="DJ4" i="67"/>
  <c r="DI4" i="67"/>
  <c r="DH4" i="67"/>
  <c r="DG4" i="67"/>
  <c r="DE4" i="67"/>
  <c r="DD4" i="67"/>
  <c r="DA4" i="67"/>
  <c r="CZ4" i="67"/>
  <c r="CY4" i="67"/>
  <c r="CX4" i="67"/>
  <c r="CW4" i="67"/>
  <c r="CV4" i="67"/>
  <c r="CU4" i="67"/>
  <c r="CT4" i="67"/>
  <c r="CS4" i="67"/>
  <c r="CQ4" i="67"/>
  <c r="CP4" i="67"/>
  <c r="CO4" i="67"/>
  <c r="CN4" i="67"/>
  <c r="CM4" i="67"/>
  <c r="CL4" i="67"/>
  <c r="CK4" i="67"/>
  <c r="CJ4" i="67"/>
  <c r="CI4" i="67"/>
  <c r="CH4" i="67"/>
  <c r="CG4" i="67"/>
  <c r="CF4" i="67"/>
  <c r="CE4" i="67"/>
  <c r="CD4" i="67"/>
  <c r="CC4" i="67"/>
  <c r="CB4" i="67"/>
  <c r="BZ4" i="67"/>
  <c r="BY4" i="67"/>
  <c r="BV4" i="67"/>
  <c r="BU4" i="67"/>
  <c r="BT4" i="67"/>
  <c r="BS4" i="67"/>
  <c r="BR4" i="67"/>
  <c r="BQ4" i="67"/>
  <c r="BP4" i="67"/>
  <c r="BO4" i="67"/>
  <c r="BN4" i="67"/>
  <c r="BL4" i="67"/>
  <c r="BK4" i="67"/>
  <c r="BJ4" i="67"/>
  <c r="BI4" i="67"/>
  <c r="BH4" i="67"/>
  <c r="BG4" i="67"/>
  <c r="BF4" i="67"/>
  <c r="BE4" i="67"/>
  <c r="BD4" i="67"/>
  <c r="BC4" i="67"/>
  <c r="BB4" i="67"/>
  <c r="BA4" i="67"/>
  <c r="AZ4" i="67"/>
  <c r="AY4" i="67"/>
  <c r="AX4" i="67"/>
  <c r="AW4" i="67"/>
  <c r="AU4" i="67"/>
  <c r="AT4" i="67"/>
  <c r="AQ4" i="67"/>
  <c r="AP4" i="67"/>
  <c r="AO4" i="67"/>
  <c r="AN4" i="67"/>
  <c r="AM4" i="67"/>
  <c r="AL4" i="67"/>
  <c r="AK4" i="67"/>
  <c r="AJ4" i="67"/>
  <c r="AI4" i="67"/>
  <c r="AG4" i="67"/>
  <c r="AF4" i="67"/>
  <c r="AE4" i="67"/>
  <c r="AD4" i="67"/>
  <c r="AC4" i="67"/>
  <c r="AB4" i="67"/>
  <c r="AA4" i="67"/>
  <c r="Z4" i="67"/>
  <c r="Y4" i="67"/>
  <c r="X4" i="67"/>
  <c r="W4" i="67"/>
  <c r="V4" i="67"/>
  <c r="U4" i="67"/>
  <c r="T4" i="67"/>
  <c r="S4" i="67"/>
  <c r="R4" i="67"/>
  <c r="P4" i="67"/>
  <c r="O4" i="67"/>
  <c r="L4" i="67"/>
  <c r="K4" i="67"/>
  <c r="J4" i="67"/>
  <c r="I4" i="67"/>
  <c r="H4" i="67"/>
  <c r="G4" i="67"/>
  <c r="F4" i="67"/>
  <c r="E4" i="67"/>
  <c r="D4" i="67"/>
  <c r="C4" i="67"/>
  <c r="DW3" i="67"/>
  <c r="DV3" i="67"/>
  <c r="DU3" i="67"/>
  <c r="DT3" i="67"/>
  <c r="DS3" i="67"/>
  <c r="DR3" i="67"/>
  <c r="DQ3" i="67"/>
  <c r="DP3" i="67"/>
  <c r="DO3" i="67"/>
  <c r="DN3" i="67"/>
  <c r="DM3" i="67"/>
  <c r="DL3" i="67"/>
  <c r="DK3" i="67"/>
  <c r="DJ3" i="67"/>
  <c r="DI3" i="67"/>
  <c r="DH3" i="67"/>
  <c r="DG3" i="67"/>
  <c r="DE3" i="67"/>
  <c r="DD3" i="67"/>
  <c r="DA3" i="67"/>
  <c r="CZ3" i="67"/>
  <c r="CY3" i="67"/>
  <c r="CX3" i="67"/>
  <c r="CW3" i="67"/>
  <c r="CV3" i="67"/>
  <c r="CU3" i="67"/>
  <c r="CT3" i="67"/>
  <c r="CS3" i="67"/>
  <c r="CR3" i="67"/>
  <c r="CQ3" i="67"/>
  <c r="CP3" i="67"/>
  <c r="CO3" i="67"/>
  <c r="CN3" i="67"/>
  <c r="CM3" i="67"/>
  <c r="CL3" i="67"/>
  <c r="CK3" i="67"/>
  <c r="CJ3" i="67"/>
  <c r="CI3" i="67"/>
  <c r="CH3" i="67"/>
  <c r="CG3" i="67"/>
  <c r="CF3" i="67"/>
  <c r="CE3" i="67"/>
  <c r="CD3" i="67"/>
  <c r="CC3" i="67"/>
  <c r="CB3" i="67"/>
  <c r="BZ3" i="67"/>
  <c r="BY3" i="67"/>
  <c r="BV3" i="67"/>
  <c r="BU3" i="67"/>
  <c r="BT3" i="67"/>
  <c r="BS3" i="67"/>
  <c r="BR3" i="67"/>
  <c r="BQ3" i="67"/>
  <c r="BP3" i="67"/>
  <c r="BO3" i="67"/>
  <c r="BN3" i="67"/>
  <c r="BM3" i="67"/>
  <c r="BL3" i="67"/>
  <c r="BK3" i="67"/>
  <c r="BJ3" i="67"/>
  <c r="BI3" i="67"/>
  <c r="BH3" i="67"/>
  <c r="BG3" i="67"/>
  <c r="BF3" i="67"/>
  <c r="BE3" i="67"/>
  <c r="BD3" i="67"/>
  <c r="BC3" i="67"/>
  <c r="BB3" i="67"/>
  <c r="BA3" i="67"/>
  <c r="AZ3" i="67"/>
  <c r="AY3" i="67"/>
  <c r="AX3" i="67"/>
  <c r="AW3" i="67"/>
  <c r="AU3" i="67"/>
  <c r="AT3" i="67"/>
  <c r="AQ3" i="67"/>
  <c r="AP3" i="67"/>
  <c r="AO3" i="67"/>
  <c r="AN3" i="67"/>
  <c r="AM3" i="67"/>
  <c r="AL3" i="67"/>
  <c r="AK3" i="67"/>
  <c r="AJ3" i="67"/>
  <c r="AI3" i="67"/>
  <c r="AH3" i="67"/>
  <c r="AG3" i="67"/>
  <c r="AF3" i="67"/>
  <c r="AE3" i="67"/>
  <c r="AD3" i="67"/>
  <c r="AC3" i="67"/>
  <c r="AB3" i="67"/>
  <c r="AA3" i="67"/>
  <c r="Z3" i="67"/>
  <c r="Y3" i="67"/>
  <c r="X3" i="67"/>
  <c r="W3" i="67"/>
  <c r="V3" i="67"/>
  <c r="U3" i="67"/>
  <c r="T3" i="67"/>
  <c r="S3" i="67"/>
  <c r="R3" i="67"/>
  <c r="P3" i="67"/>
  <c r="O3" i="67"/>
  <c r="L3" i="67"/>
  <c r="K3" i="67"/>
  <c r="J3" i="67"/>
  <c r="I3" i="67"/>
  <c r="H3" i="67"/>
  <c r="G3" i="67"/>
  <c r="F3" i="67"/>
  <c r="E3" i="67"/>
  <c r="D3" i="67"/>
  <c r="B3" i="67"/>
  <c r="C35" i="67" s="1"/>
  <c r="A35" i="67" s="1"/>
  <c r="DV2" i="67"/>
  <c r="DU2" i="67"/>
  <c r="DT2" i="67"/>
  <c r="DS2" i="67"/>
  <c r="DR2" i="67"/>
  <c r="DQ2" i="67"/>
  <c r="DP2" i="67"/>
  <c r="DO2" i="67"/>
  <c r="DN2" i="67"/>
  <c r="DM2" i="67"/>
  <c r="DL2" i="67"/>
  <c r="DK2" i="67"/>
  <c r="DJ2" i="67"/>
  <c r="DI2" i="67"/>
  <c r="DH2" i="67"/>
  <c r="DG2" i="67"/>
  <c r="DE2" i="67"/>
  <c r="DD2" i="67"/>
  <c r="DA2" i="67"/>
  <c r="CZ2" i="67"/>
  <c r="CY2" i="67"/>
  <c r="CX2" i="67"/>
  <c r="CW2" i="67"/>
  <c r="CV2" i="67"/>
  <c r="CU2" i="67"/>
  <c r="CT2" i="67"/>
  <c r="CS2" i="67"/>
  <c r="CQ2" i="67"/>
  <c r="CP2" i="67"/>
  <c r="CO2" i="67"/>
  <c r="CN2" i="67"/>
  <c r="CM2" i="67"/>
  <c r="CL2" i="67"/>
  <c r="CK2" i="67"/>
  <c r="CJ2" i="67"/>
  <c r="CI2" i="67"/>
  <c r="CH2" i="67"/>
  <c r="CG2" i="67"/>
  <c r="CF2" i="67"/>
  <c r="CE2" i="67"/>
  <c r="CD2" i="67"/>
  <c r="CC2" i="67"/>
  <c r="CB2" i="67"/>
  <c r="BZ2" i="67"/>
  <c r="BY2" i="67"/>
  <c r="BV2" i="67"/>
  <c r="BU2" i="67"/>
  <c r="BT2" i="67"/>
  <c r="BS2" i="67"/>
  <c r="BR2" i="67"/>
  <c r="BQ2" i="67"/>
  <c r="BP2" i="67"/>
  <c r="BO2" i="67"/>
  <c r="BN2" i="67"/>
  <c r="BL2" i="67"/>
  <c r="BK2" i="67"/>
  <c r="BJ2" i="67"/>
  <c r="BI2" i="67"/>
  <c r="BH2" i="67"/>
  <c r="BG2" i="67"/>
  <c r="BF2" i="67"/>
  <c r="BE2" i="67"/>
  <c r="BD2" i="67"/>
  <c r="BC2" i="67"/>
  <c r="BB2" i="67"/>
  <c r="BA2" i="67"/>
  <c r="AZ2" i="67"/>
  <c r="AY2" i="67"/>
  <c r="AX2" i="67"/>
  <c r="AW2" i="67"/>
  <c r="AU2" i="67"/>
  <c r="AT2" i="67"/>
  <c r="AQ2" i="67"/>
  <c r="AP2" i="67"/>
  <c r="AO2" i="67"/>
  <c r="AN2" i="67"/>
  <c r="AM2" i="67"/>
  <c r="AL2" i="67"/>
  <c r="AK2" i="67"/>
  <c r="AJ2" i="67"/>
  <c r="AI2" i="67"/>
  <c r="AG2" i="67"/>
  <c r="AF2" i="67"/>
  <c r="AE2" i="67"/>
  <c r="AD2" i="67"/>
  <c r="AC2" i="67"/>
  <c r="AB2" i="67"/>
  <c r="AA2" i="67"/>
  <c r="Z2" i="67"/>
  <c r="Y2" i="67"/>
  <c r="X2" i="67"/>
  <c r="W2" i="67"/>
  <c r="V2" i="67"/>
  <c r="U2" i="67"/>
  <c r="T2" i="67"/>
  <c r="S2" i="67"/>
  <c r="R2" i="67"/>
  <c r="P2" i="67"/>
  <c r="O2" i="67"/>
  <c r="L2" i="67"/>
  <c r="K2" i="67"/>
  <c r="J2" i="67"/>
  <c r="I2" i="67"/>
  <c r="H2" i="67"/>
  <c r="G2" i="67"/>
  <c r="F2" i="67"/>
  <c r="E2" i="67"/>
  <c r="D2" i="67"/>
  <c r="DV4" i="66"/>
  <c r="DU4" i="66"/>
  <c r="DT4" i="66"/>
  <c r="DS4" i="66"/>
  <c r="DR4" i="66"/>
  <c r="DQ4" i="66"/>
  <c r="DP4" i="66"/>
  <c r="DO4" i="66"/>
  <c r="DN4" i="66"/>
  <c r="DM4" i="66"/>
  <c r="DL4" i="66"/>
  <c r="DK4" i="66"/>
  <c r="DJ4" i="66"/>
  <c r="DI4" i="66"/>
  <c r="DH4" i="66"/>
  <c r="DG4" i="66"/>
  <c r="DE4" i="66"/>
  <c r="DD4" i="66"/>
  <c r="DA4" i="66"/>
  <c r="CZ4" i="66"/>
  <c r="CY4" i="66"/>
  <c r="CX4" i="66"/>
  <c r="CW4" i="66"/>
  <c r="CV4" i="66"/>
  <c r="CU4" i="66"/>
  <c r="CT4" i="66"/>
  <c r="CS4" i="66"/>
  <c r="CQ4" i="66"/>
  <c r="CP4" i="66"/>
  <c r="CO4" i="66"/>
  <c r="CN4" i="66"/>
  <c r="CM4" i="66"/>
  <c r="CL4" i="66"/>
  <c r="CK4" i="66"/>
  <c r="CJ4" i="66"/>
  <c r="CI4" i="66"/>
  <c r="CH4" i="66"/>
  <c r="CG4" i="66"/>
  <c r="CF4" i="66"/>
  <c r="CE4" i="66"/>
  <c r="CD4" i="66"/>
  <c r="CC4" i="66"/>
  <c r="CB4" i="66"/>
  <c r="BZ4" i="66"/>
  <c r="BY4" i="66"/>
  <c r="BV4" i="66"/>
  <c r="BU4" i="66"/>
  <c r="BT4" i="66"/>
  <c r="BS4" i="66"/>
  <c r="BR4" i="66"/>
  <c r="BQ4" i="66"/>
  <c r="BP4" i="66"/>
  <c r="BO4" i="66"/>
  <c r="BN4" i="66"/>
  <c r="BL4" i="66"/>
  <c r="BK4" i="66"/>
  <c r="BJ4" i="66"/>
  <c r="BI4" i="66"/>
  <c r="BH4" i="66"/>
  <c r="BG4" i="66"/>
  <c r="BF4" i="66"/>
  <c r="BE4" i="66"/>
  <c r="BD4" i="66"/>
  <c r="BC4" i="66"/>
  <c r="BB4" i="66"/>
  <c r="BA4" i="66"/>
  <c r="AZ4" i="66"/>
  <c r="AY4" i="66"/>
  <c r="AX4" i="66"/>
  <c r="AW4" i="66"/>
  <c r="AU4" i="66"/>
  <c r="AT4" i="66"/>
  <c r="AQ4" i="66"/>
  <c r="AP4" i="66"/>
  <c r="AO4" i="66"/>
  <c r="AN4" i="66"/>
  <c r="AM4" i="66"/>
  <c r="AL4" i="66"/>
  <c r="AK4" i="66"/>
  <c r="AJ4" i="66"/>
  <c r="AI4" i="66"/>
  <c r="AG4" i="66"/>
  <c r="AF4" i="66"/>
  <c r="AE4" i="66"/>
  <c r="AD4" i="66"/>
  <c r="AC4" i="66"/>
  <c r="AB4" i="66"/>
  <c r="AA4" i="66"/>
  <c r="Z4" i="66"/>
  <c r="Y4" i="66"/>
  <c r="X4" i="66"/>
  <c r="W4" i="66"/>
  <c r="V4" i="66"/>
  <c r="U4" i="66"/>
  <c r="T4" i="66"/>
  <c r="S4" i="66"/>
  <c r="R4" i="66"/>
  <c r="P4" i="66"/>
  <c r="O4" i="66"/>
  <c r="L4" i="66"/>
  <c r="K4" i="66"/>
  <c r="J4" i="66"/>
  <c r="I4" i="66"/>
  <c r="H4" i="66"/>
  <c r="G4" i="66"/>
  <c r="F4" i="66"/>
  <c r="E4" i="66"/>
  <c r="D4" i="66"/>
  <c r="C4" i="66"/>
  <c r="DW3" i="66"/>
  <c r="DV3" i="66"/>
  <c r="DU3" i="66"/>
  <c r="DT3" i="66"/>
  <c r="DS3" i="66"/>
  <c r="DR3" i="66"/>
  <c r="DQ3" i="66"/>
  <c r="DP3" i="66"/>
  <c r="DO3" i="66"/>
  <c r="DN3" i="66"/>
  <c r="DM3" i="66"/>
  <c r="DL3" i="66"/>
  <c r="DK3" i="66"/>
  <c r="DJ3" i="66"/>
  <c r="DI3" i="66"/>
  <c r="DH3" i="66"/>
  <c r="DG3" i="66"/>
  <c r="DE3" i="66"/>
  <c r="DD3" i="66"/>
  <c r="DA3" i="66"/>
  <c r="CZ3" i="66"/>
  <c r="CY3" i="66"/>
  <c r="CX3" i="66"/>
  <c r="CW3" i="66"/>
  <c r="CV3" i="66"/>
  <c r="CU3" i="66"/>
  <c r="CT3" i="66"/>
  <c r="CS3" i="66"/>
  <c r="CR3" i="66"/>
  <c r="CQ3" i="66"/>
  <c r="CP3" i="66"/>
  <c r="CO3" i="66"/>
  <c r="CN3" i="66"/>
  <c r="CM3" i="66"/>
  <c r="CL3" i="66"/>
  <c r="CK3" i="66"/>
  <c r="CJ3" i="66"/>
  <c r="CI3" i="66"/>
  <c r="CH3" i="66"/>
  <c r="CG3" i="66"/>
  <c r="CF3" i="66"/>
  <c r="CE3" i="66"/>
  <c r="CD3" i="66"/>
  <c r="CC3" i="66"/>
  <c r="CB3" i="66"/>
  <c r="BZ3" i="66"/>
  <c r="BY3" i="66"/>
  <c r="BV3" i="66"/>
  <c r="BU3" i="66"/>
  <c r="BT3" i="66"/>
  <c r="BS3" i="66"/>
  <c r="BR3" i="66"/>
  <c r="BQ3" i="66"/>
  <c r="BP3" i="66"/>
  <c r="BO3" i="66"/>
  <c r="BN3" i="66"/>
  <c r="BM3" i="66"/>
  <c r="BL3" i="66"/>
  <c r="BK3" i="66"/>
  <c r="BJ3" i="66"/>
  <c r="BI3" i="66"/>
  <c r="BH3" i="66"/>
  <c r="BG3" i="66"/>
  <c r="BF3" i="66"/>
  <c r="BE3" i="66"/>
  <c r="BD3" i="66"/>
  <c r="BC3" i="66"/>
  <c r="BB3" i="66"/>
  <c r="BA3" i="66"/>
  <c r="AZ3" i="66"/>
  <c r="AY3" i="66"/>
  <c r="AX3" i="66"/>
  <c r="AW3" i="66"/>
  <c r="AU3" i="66"/>
  <c r="AT3" i="66"/>
  <c r="AQ3" i="66"/>
  <c r="AP3" i="66"/>
  <c r="AO3" i="66"/>
  <c r="AN3" i="66"/>
  <c r="AM3" i="66"/>
  <c r="AL3" i="66"/>
  <c r="AK3" i="66"/>
  <c r="AJ3" i="66"/>
  <c r="AI3" i="66"/>
  <c r="AH3" i="66"/>
  <c r="AG3" i="66"/>
  <c r="AF3" i="66"/>
  <c r="AE3" i="66"/>
  <c r="AD3" i="66"/>
  <c r="AC3" i="66"/>
  <c r="AB3" i="66"/>
  <c r="AA3" i="66"/>
  <c r="Z3" i="66"/>
  <c r="Y3" i="66"/>
  <c r="X3" i="66"/>
  <c r="W3" i="66"/>
  <c r="V3" i="66"/>
  <c r="U3" i="66"/>
  <c r="T3" i="66"/>
  <c r="S3" i="66"/>
  <c r="R3" i="66"/>
  <c r="P3" i="66"/>
  <c r="O3" i="66"/>
  <c r="L3" i="66"/>
  <c r="K3" i="66"/>
  <c r="J3" i="66"/>
  <c r="I3" i="66"/>
  <c r="H3" i="66"/>
  <c r="G3" i="66"/>
  <c r="F3" i="66"/>
  <c r="E3" i="66"/>
  <c r="D3" i="66"/>
  <c r="B3" i="66"/>
  <c r="C35" i="66" s="1"/>
  <c r="A35" i="66" s="1"/>
  <c r="DV2" i="66"/>
  <c r="DU2" i="66"/>
  <c r="DT2" i="66"/>
  <c r="DS2" i="66"/>
  <c r="DR2" i="66"/>
  <c r="DQ2" i="66"/>
  <c r="DP2" i="66"/>
  <c r="DO2" i="66"/>
  <c r="DN2" i="66"/>
  <c r="DM2" i="66"/>
  <c r="DL2" i="66"/>
  <c r="DK2" i="66"/>
  <c r="DJ2" i="66"/>
  <c r="DI2" i="66"/>
  <c r="DH2" i="66"/>
  <c r="DG2" i="66"/>
  <c r="DE2" i="66"/>
  <c r="DD2" i="66"/>
  <c r="DA2" i="66"/>
  <c r="CZ2" i="66"/>
  <c r="CY2" i="66"/>
  <c r="CX2" i="66"/>
  <c r="CW2" i="66"/>
  <c r="CV2" i="66"/>
  <c r="CU2" i="66"/>
  <c r="CT2" i="66"/>
  <c r="CS2" i="66"/>
  <c r="CQ2" i="66"/>
  <c r="CP2" i="66"/>
  <c r="CO2" i="66"/>
  <c r="CN2" i="66"/>
  <c r="CM2" i="66"/>
  <c r="CL2" i="66"/>
  <c r="CK2" i="66"/>
  <c r="CJ2" i="66"/>
  <c r="CI2" i="66"/>
  <c r="CH2" i="66"/>
  <c r="CG2" i="66"/>
  <c r="CF2" i="66"/>
  <c r="CE2" i="66"/>
  <c r="CD2" i="66"/>
  <c r="CC2" i="66"/>
  <c r="CB2" i="66"/>
  <c r="BZ2" i="66"/>
  <c r="BY2" i="66"/>
  <c r="BV2" i="66"/>
  <c r="BU2" i="66"/>
  <c r="BT2" i="66"/>
  <c r="BS2" i="66"/>
  <c r="BR2" i="66"/>
  <c r="BQ2" i="66"/>
  <c r="BP2" i="66"/>
  <c r="BO2" i="66"/>
  <c r="BN2" i="66"/>
  <c r="BL2" i="66"/>
  <c r="BK2" i="66"/>
  <c r="BJ2" i="66"/>
  <c r="BI2" i="66"/>
  <c r="BH2" i="66"/>
  <c r="BG2" i="66"/>
  <c r="BF2" i="66"/>
  <c r="BE2" i="66"/>
  <c r="BD2" i="66"/>
  <c r="BC2" i="66"/>
  <c r="BB2" i="66"/>
  <c r="BA2" i="66"/>
  <c r="AZ2" i="66"/>
  <c r="AY2" i="66"/>
  <c r="AX2" i="66"/>
  <c r="AW2" i="66"/>
  <c r="AU2" i="66"/>
  <c r="AT2" i="66"/>
  <c r="AQ2" i="66"/>
  <c r="AP2" i="66"/>
  <c r="AO2" i="66"/>
  <c r="AN2" i="66"/>
  <c r="AM2" i="66"/>
  <c r="AL2" i="66"/>
  <c r="AK2" i="66"/>
  <c r="AJ2" i="66"/>
  <c r="AI2" i="66"/>
  <c r="AG2" i="66"/>
  <c r="AF2" i="66"/>
  <c r="AE2" i="66"/>
  <c r="AD2" i="66"/>
  <c r="AC2" i="66"/>
  <c r="AB2" i="66"/>
  <c r="AA2" i="66"/>
  <c r="Z2" i="66"/>
  <c r="Y2" i="66"/>
  <c r="X2" i="66"/>
  <c r="W2" i="66"/>
  <c r="V2" i="66"/>
  <c r="U2" i="66"/>
  <c r="T2" i="66"/>
  <c r="S2" i="66"/>
  <c r="R2" i="66"/>
  <c r="P2" i="66"/>
  <c r="O2" i="66"/>
  <c r="L2" i="66"/>
  <c r="K2" i="66"/>
  <c r="J2" i="66"/>
  <c r="I2" i="66"/>
  <c r="H2" i="66"/>
  <c r="G2" i="66"/>
  <c r="F2" i="66"/>
  <c r="E2" i="66"/>
  <c r="D2" i="66"/>
  <c r="DV4" i="65"/>
  <c r="DU4" i="65"/>
  <c r="DT4" i="65"/>
  <c r="DS4" i="65"/>
  <c r="DR4" i="65"/>
  <c r="DQ4" i="65"/>
  <c r="DP4" i="65"/>
  <c r="DO4" i="65"/>
  <c r="DN4" i="65"/>
  <c r="DM4" i="65"/>
  <c r="DL4" i="65"/>
  <c r="DK4" i="65"/>
  <c r="DJ4" i="65"/>
  <c r="DI4" i="65"/>
  <c r="DH4" i="65"/>
  <c r="DG4" i="65"/>
  <c r="DE4" i="65"/>
  <c r="DD4" i="65"/>
  <c r="DA4" i="65"/>
  <c r="CZ4" i="65"/>
  <c r="CY4" i="65"/>
  <c r="CX4" i="65"/>
  <c r="CW4" i="65"/>
  <c r="CV4" i="65"/>
  <c r="CU4" i="65"/>
  <c r="CT4" i="65"/>
  <c r="CS4" i="65"/>
  <c r="CQ4" i="65"/>
  <c r="CP4" i="65"/>
  <c r="CO4" i="65"/>
  <c r="CN4" i="65"/>
  <c r="CM4" i="65"/>
  <c r="CL4" i="65"/>
  <c r="CK4" i="65"/>
  <c r="CJ4" i="65"/>
  <c r="CI4" i="65"/>
  <c r="CH4" i="65"/>
  <c r="CG4" i="65"/>
  <c r="CF4" i="65"/>
  <c r="CE4" i="65"/>
  <c r="CD4" i="65"/>
  <c r="CC4" i="65"/>
  <c r="CB4" i="65"/>
  <c r="BZ4" i="65"/>
  <c r="BY4" i="65"/>
  <c r="BV4" i="65"/>
  <c r="BU4" i="65"/>
  <c r="BT4" i="65"/>
  <c r="BS4" i="65"/>
  <c r="BR4" i="65"/>
  <c r="BQ4" i="65"/>
  <c r="BP4" i="65"/>
  <c r="BO4" i="65"/>
  <c r="BN4" i="65"/>
  <c r="BL4" i="65"/>
  <c r="BK4" i="65"/>
  <c r="BJ4" i="65"/>
  <c r="BI4" i="65"/>
  <c r="BH4" i="65"/>
  <c r="BG4" i="65"/>
  <c r="BF4" i="65"/>
  <c r="BE4" i="65"/>
  <c r="BD4" i="65"/>
  <c r="BC4" i="65"/>
  <c r="BB4" i="65"/>
  <c r="BA4" i="65"/>
  <c r="AZ4" i="65"/>
  <c r="AY4" i="65"/>
  <c r="AX4" i="65"/>
  <c r="AW4" i="65"/>
  <c r="AU4" i="65"/>
  <c r="AT4" i="65"/>
  <c r="AQ4" i="65"/>
  <c r="AP4" i="65"/>
  <c r="AO4" i="65"/>
  <c r="AN4" i="65"/>
  <c r="AM4" i="65"/>
  <c r="AL4" i="65"/>
  <c r="AK4" i="65"/>
  <c r="AJ4" i="65"/>
  <c r="AI4" i="65"/>
  <c r="AG4" i="65"/>
  <c r="AF4" i="65"/>
  <c r="AE4" i="65"/>
  <c r="AD4" i="65"/>
  <c r="AC4" i="65"/>
  <c r="AB4" i="65"/>
  <c r="AA4" i="65"/>
  <c r="Z4" i="65"/>
  <c r="Y4" i="65"/>
  <c r="X4" i="65"/>
  <c r="W4" i="65"/>
  <c r="V4" i="65"/>
  <c r="U4" i="65"/>
  <c r="T4" i="65"/>
  <c r="S4" i="65"/>
  <c r="R4" i="65"/>
  <c r="P4" i="65"/>
  <c r="O4" i="65"/>
  <c r="L4" i="65"/>
  <c r="K4" i="65"/>
  <c r="J4" i="65"/>
  <c r="I4" i="65"/>
  <c r="H4" i="65"/>
  <c r="G4" i="65"/>
  <c r="F4" i="65"/>
  <c r="E4" i="65"/>
  <c r="D4" i="65"/>
  <c r="C4" i="65"/>
  <c r="DW3" i="65"/>
  <c r="DV3" i="65"/>
  <c r="DU3" i="65"/>
  <c r="DT3" i="65"/>
  <c r="DS3" i="65"/>
  <c r="DR3" i="65"/>
  <c r="DQ3" i="65"/>
  <c r="DP3" i="65"/>
  <c r="DO3" i="65"/>
  <c r="DN3" i="65"/>
  <c r="DM3" i="65"/>
  <c r="DL3" i="65"/>
  <c r="DK3" i="65"/>
  <c r="DJ3" i="65"/>
  <c r="DI3" i="65"/>
  <c r="DH3" i="65"/>
  <c r="DG3" i="65"/>
  <c r="DE3" i="65"/>
  <c r="DD3" i="65"/>
  <c r="DA3" i="65"/>
  <c r="CZ3" i="65"/>
  <c r="CY3" i="65"/>
  <c r="CX3" i="65"/>
  <c r="CW3" i="65"/>
  <c r="CV3" i="65"/>
  <c r="CU3" i="65"/>
  <c r="CT3" i="65"/>
  <c r="CS3" i="65"/>
  <c r="CR3" i="65"/>
  <c r="CQ3" i="65"/>
  <c r="CP3" i="65"/>
  <c r="CO3" i="65"/>
  <c r="CN3" i="65"/>
  <c r="CM3" i="65"/>
  <c r="CL3" i="65"/>
  <c r="CK3" i="65"/>
  <c r="CJ3" i="65"/>
  <c r="CI3" i="65"/>
  <c r="CH3" i="65"/>
  <c r="CG3" i="65"/>
  <c r="CF3" i="65"/>
  <c r="CE3" i="65"/>
  <c r="CD3" i="65"/>
  <c r="CC3" i="65"/>
  <c r="CB3" i="65"/>
  <c r="BZ3" i="65"/>
  <c r="BY3" i="65"/>
  <c r="BV3" i="65"/>
  <c r="BU3" i="65"/>
  <c r="BT3" i="65"/>
  <c r="BS3" i="65"/>
  <c r="BR3" i="65"/>
  <c r="BQ3" i="65"/>
  <c r="BP3" i="65"/>
  <c r="BO3" i="65"/>
  <c r="BN3" i="65"/>
  <c r="BM3" i="65"/>
  <c r="BL3" i="65"/>
  <c r="BK3" i="65"/>
  <c r="BJ3" i="65"/>
  <c r="BI3" i="65"/>
  <c r="BH3" i="65"/>
  <c r="BG3" i="65"/>
  <c r="BF3" i="65"/>
  <c r="BE3" i="65"/>
  <c r="BD3" i="65"/>
  <c r="BC3" i="65"/>
  <c r="BB3" i="65"/>
  <c r="BA3" i="65"/>
  <c r="AZ3" i="65"/>
  <c r="AY3" i="65"/>
  <c r="AX3" i="65"/>
  <c r="AW3" i="65"/>
  <c r="AU3" i="65"/>
  <c r="AT3" i="65"/>
  <c r="AQ3" i="65"/>
  <c r="AP3" i="65"/>
  <c r="AO3" i="65"/>
  <c r="AN3" i="65"/>
  <c r="AM3" i="65"/>
  <c r="AL3" i="65"/>
  <c r="AK3" i="65"/>
  <c r="AJ3" i="65"/>
  <c r="AI3" i="65"/>
  <c r="AH3" i="65"/>
  <c r="AG3" i="65"/>
  <c r="AF3" i="65"/>
  <c r="AE3" i="65"/>
  <c r="AD3" i="65"/>
  <c r="AC3" i="65"/>
  <c r="AB3" i="65"/>
  <c r="AA3" i="65"/>
  <c r="Z3" i="65"/>
  <c r="Y3" i="65"/>
  <c r="X3" i="65"/>
  <c r="W3" i="65"/>
  <c r="V3" i="65"/>
  <c r="U3" i="65"/>
  <c r="T3" i="65"/>
  <c r="S3" i="65"/>
  <c r="R3" i="65"/>
  <c r="P3" i="65"/>
  <c r="O3" i="65"/>
  <c r="L3" i="65"/>
  <c r="K3" i="65"/>
  <c r="J3" i="65"/>
  <c r="I3" i="65"/>
  <c r="H3" i="65"/>
  <c r="G3" i="65"/>
  <c r="F3" i="65"/>
  <c r="E3" i="65"/>
  <c r="D3" i="65"/>
  <c r="B3" i="65"/>
  <c r="C35" i="65" s="1"/>
  <c r="A35" i="65" s="1"/>
  <c r="DV2" i="65"/>
  <c r="DU2" i="65"/>
  <c r="DT2" i="65"/>
  <c r="DS2" i="65"/>
  <c r="DR2" i="65"/>
  <c r="DQ2" i="65"/>
  <c r="DP2" i="65"/>
  <c r="DO2" i="65"/>
  <c r="DN2" i="65"/>
  <c r="DM2" i="65"/>
  <c r="DL2" i="65"/>
  <c r="DK2" i="65"/>
  <c r="DJ2" i="65"/>
  <c r="DI2" i="65"/>
  <c r="DH2" i="65"/>
  <c r="DG2" i="65"/>
  <c r="DE2" i="65"/>
  <c r="DD2" i="65"/>
  <c r="DA2" i="65"/>
  <c r="CZ2" i="65"/>
  <c r="CY2" i="65"/>
  <c r="CX2" i="65"/>
  <c r="CW2" i="65"/>
  <c r="CV2" i="65"/>
  <c r="CU2" i="65"/>
  <c r="CT2" i="65"/>
  <c r="CS2" i="65"/>
  <c r="CQ2" i="65"/>
  <c r="CP2" i="65"/>
  <c r="CO2" i="65"/>
  <c r="CN2" i="65"/>
  <c r="CM2" i="65"/>
  <c r="CL2" i="65"/>
  <c r="CK2" i="65"/>
  <c r="CJ2" i="65"/>
  <c r="CI2" i="65"/>
  <c r="CH2" i="65"/>
  <c r="CG2" i="65"/>
  <c r="CF2" i="65"/>
  <c r="CE2" i="65"/>
  <c r="CD2" i="65"/>
  <c r="CC2" i="65"/>
  <c r="CB2" i="65"/>
  <c r="BZ2" i="65"/>
  <c r="BY2" i="65"/>
  <c r="BV2" i="65"/>
  <c r="BU2" i="65"/>
  <c r="BT2" i="65"/>
  <c r="BS2" i="65"/>
  <c r="BR2" i="65"/>
  <c r="BQ2" i="65"/>
  <c r="BP2" i="65"/>
  <c r="BO2" i="65"/>
  <c r="BN2" i="65"/>
  <c r="BL2" i="65"/>
  <c r="BK2" i="65"/>
  <c r="BJ2" i="65"/>
  <c r="BI2" i="65"/>
  <c r="BH2" i="65"/>
  <c r="BG2" i="65"/>
  <c r="BF2" i="65"/>
  <c r="BE2" i="65"/>
  <c r="BD2" i="65"/>
  <c r="BC2" i="65"/>
  <c r="BB2" i="65"/>
  <c r="BA2" i="65"/>
  <c r="AZ2" i="65"/>
  <c r="AY2" i="65"/>
  <c r="AX2" i="65"/>
  <c r="AW2" i="65"/>
  <c r="AU2" i="65"/>
  <c r="AT2" i="65"/>
  <c r="AQ2" i="65"/>
  <c r="AP2" i="65"/>
  <c r="AO2" i="65"/>
  <c r="AN2" i="65"/>
  <c r="AM2" i="65"/>
  <c r="AL2" i="65"/>
  <c r="AK2" i="65"/>
  <c r="AJ2" i="65"/>
  <c r="AI2" i="65"/>
  <c r="AG2" i="65"/>
  <c r="AF2" i="65"/>
  <c r="AE2" i="65"/>
  <c r="AD2" i="65"/>
  <c r="AC2" i="65"/>
  <c r="AB2" i="65"/>
  <c r="AA2" i="65"/>
  <c r="Z2" i="65"/>
  <c r="Y2" i="65"/>
  <c r="X2" i="65"/>
  <c r="W2" i="65"/>
  <c r="V2" i="65"/>
  <c r="U2" i="65"/>
  <c r="T2" i="65"/>
  <c r="S2" i="65"/>
  <c r="R2" i="65"/>
  <c r="P2" i="65"/>
  <c r="O2" i="65"/>
  <c r="L2" i="65"/>
  <c r="K2" i="65"/>
  <c r="J2" i="65"/>
  <c r="I2" i="65"/>
  <c r="H2" i="65"/>
  <c r="G2" i="65"/>
  <c r="F2" i="65"/>
  <c r="E2" i="65"/>
  <c r="D2" i="65"/>
  <c r="DV4" i="64"/>
  <c r="DU4" i="64"/>
  <c r="DT4" i="64"/>
  <c r="DS4" i="64"/>
  <c r="DR4" i="64"/>
  <c r="DQ4" i="64"/>
  <c r="DP4" i="64"/>
  <c r="DO4" i="64"/>
  <c r="DN4" i="64"/>
  <c r="DM4" i="64"/>
  <c r="DL4" i="64"/>
  <c r="DK4" i="64"/>
  <c r="DJ4" i="64"/>
  <c r="DI4" i="64"/>
  <c r="DH4" i="64"/>
  <c r="DG4" i="64"/>
  <c r="DE4" i="64"/>
  <c r="DD4" i="64"/>
  <c r="DA4" i="64"/>
  <c r="CZ4" i="64"/>
  <c r="CY4" i="64"/>
  <c r="CX4" i="64"/>
  <c r="CW4" i="64"/>
  <c r="CV4" i="64"/>
  <c r="CU4" i="64"/>
  <c r="CT4" i="64"/>
  <c r="CS4" i="64"/>
  <c r="CQ4" i="64"/>
  <c r="CP4" i="64"/>
  <c r="CO4" i="64"/>
  <c r="CN4" i="64"/>
  <c r="CM4" i="64"/>
  <c r="CL4" i="64"/>
  <c r="CK4" i="64"/>
  <c r="CJ4" i="64"/>
  <c r="CI4" i="64"/>
  <c r="CH4" i="64"/>
  <c r="CG4" i="64"/>
  <c r="CF4" i="64"/>
  <c r="CE4" i="64"/>
  <c r="CD4" i="64"/>
  <c r="CC4" i="64"/>
  <c r="CB4" i="64"/>
  <c r="BZ4" i="64"/>
  <c r="BY4" i="64"/>
  <c r="BV4" i="64"/>
  <c r="BU4" i="64"/>
  <c r="BT4" i="64"/>
  <c r="BS4" i="64"/>
  <c r="BR4" i="64"/>
  <c r="BQ4" i="64"/>
  <c r="BP4" i="64"/>
  <c r="BO4" i="64"/>
  <c r="BN4" i="64"/>
  <c r="BL4" i="64"/>
  <c r="BK4" i="64"/>
  <c r="BJ4" i="64"/>
  <c r="BI4" i="64"/>
  <c r="BH4" i="64"/>
  <c r="BG4" i="64"/>
  <c r="BF4" i="64"/>
  <c r="BE4" i="64"/>
  <c r="BD4" i="64"/>
  <c r="BC4" i="64"/>
  <c r="BB4" i="64"/>
  <c r="BA4" i="64"/>
  <c r="AZ4" i="64"/>
  <c r="AY4" i="64"/>
  <c r="AX4" i="64"/>
  <c r="AW4" i="64"/>
  <c r="AU4" i="64"/>
  <c r="AT4" i="64"/>
  <c r="AQ4" i="64"/>
  <c r="AP4" i="64"/>
  <c r="AO4" i="64"/>
  <c r="AN4" i="64"/>
  <c r="AM4" i="64"/>
  <c r="AL4" i="64"/>
  <c r="AK4" i="64"/>
  <c r="AJ4" i="64"/>
  <c r="AI4" i="64"/>
  <c r="AG4" i="64"/>
  <c r="AF4" i="64"/>
  <c r="AE4" i="64"/>
  <c r="AD4" i="64"/>
  <c r="AC4" i="64"/>
  <c r="AB4" i="64"/>
  <c r="AA4" i="64"/>
  <c r="Z4" i="64"/>
  <c r="Y4" i="64"/>
  <c r="X4" i="64"/>
  <c r="W4" i="64"/>
  <c r="V4" i="64"/>
  <c r="U4" i="64"/>
  <c r="T4" i="64"/>
  <c r="S4" i="64"/>
  <c r="R4" i="64"/>
  <c r="P4" i="64"/>
  <c r="O4" i="64"/>
  <c r="L4" i="64"/>
  <c r="K4" i="64"/>
  <c r="J4" i="64"/>
  <c r="I4" i="64"/>
  <c r="H4" i="64"/>
  <c r="G4" i="64"/>
  <c r="F4" i="64"/>
  <c r="E4" i="64"/>
  <c r="D4" i="64"/>
  <c r="C4" i="64"/>
  <c r="DW3" i="64"/>
  <c r="DV3" i="64"/>
  <c r="DU3" i="64"/>
  <c r="DT3" i="64"/>
  <c r="DS3" i="64"/>
  <c r="DR3" i="64"/>
  <c r="DQ3" i="64"/>
  <c r="DP3" i="64"/>
  <c r="DO3" i="64"/>
  <c r="DN3" i="64"/>
  <c r="DM3" i="64"/>
  <c r="DL3" i="64"/>
  <c r="DK3" i="64"/>
  <c r="DJ3" i="64"/>
  <c r="DI3" i="64"/>
  <c r="DH3" i="64"/>
  <c r="DG3" i="64"/>
  <c r="DE3" i="64"/>
  <c r="DD3" i="64"/>
  <c r="DA3" i="64"/>
  <c r="CZ3" i="64"/>
  <c r="CY3" i="64"/>
  <c r="CX3" i="64"/>
  <c r="CW3" i="64"/>
  <c r="CV3" i="64"/>
  <c r="CU3" i="64"/>
  <c r="CT3" i="64"/>
  <c r="CS3" i="64"/>
  <c r="CR3" i="64"/>
  <c r="CQ3" i="64"/>
  <c r="CP3" i="64"/>
  <c r="CO3" i="64"/>
  <c r="CN3" i="64"/>
  <c r="CM3" i="64"/>
  <c r="CL3" i="64"/>
  <c r="CK3" i="64"/>
  <c r="CJ3" i="64"/>
  <c r="CI3" i="64"/>
  <c r="CH3" i="64"/>
  <c r="CG3" i="64"/>
  <c r="CF3" i="64"/>
  <c r="CE3" i="64"/>
  <c r="CD3" i="64"/>
  <c r="CC3" i="64"/>
  <c r="CB3" i="64"/>
  <c r="BZ3" i="64"/>
  <c r="BY3" i="64"/>
  <c r="BV3" i="64"/>
  <c r="BU3" i="64"/>
  <c r="BT3" i="64"/>
  <c r="BS3" i="64"/>
  <c r="BR3" i="64"/>
  <c r="BQ3" i="64"/>
  <c r="BP3" i="64"/>
  <c r="BO3" i="64"/>
  <c r="BN3" i="64"/>
  <c r="BM3" i="64"/>
  <c r="BL3" i="64"/>
  <c r="BK3" i="64"/>
  <c r="BJ3" i="64"/>
  <c r="BI3" i="64"/>
  <c r="BH3" i="64"/>
  <c r="BG3" i="64"/>
  <c r="BF3" i="64"/>
  <c r="BE3" i="64"/>
  <c r="BD3" i="64"/>
  <c r="BC3" i="64"/>
  <c r="BB3" i="64"/>
  <c r="BA3" i="64"/>
  <c r="AZ3" i="64"/>
  <c r="AY3" i="64"/>
  <c r="AX3" i="64"/>
  <c r="AW3" i="64"/>
  <c r="AU3" i="64"/>
  <c r="AT3" i="64"/>
  <c r="AQ3" i="64"/>
  <c r="AP3" i="64"/>
  <c r="AO3" i="64"/>
  <c r="AN3" i="64"/>
  <c r="AM3" i="64"/>
  <c r="AL3" i="64"/>
  <c r="AK3" i="64"/>
  <c r="AJ3" i="64"/>
  <c r="AI3" i="64"/>
  <c r="AH3" i="64"/>
  <c r="AG3" i="64"/>
  <c r="AF3" i="64"/>
  <c r="AE3" i="64"/>
  <c r="AD3" i="64"/>
  <c r="AC3" i="64"/>
  <c r="AB3" i="64"/>
  <c r="AA3" i="64"/>
  <c r="Z3" i="64"/>
  <c r="Y3" i="64"/>
  <c r="X3" i="64"/>
  <c r="W3" i="64"/>
  <c r="V3" i="64"/>
  <c r="U3" i="64"/>
  <c r="T3" i="64"/>
  <c r="S3" i="64"/>
  <c r="R3" i="64"/>
  <c r="P3" i="64"/>
  <c r="O3" i="64"/>
  <c r="L3" i="64"/>
  <c r="K3" i="64"/>
  <c r="J3" i="64"/>
  <c r="I3" i="64"/>
  <c r="H3" i="64"/>
  <c r="G3" i="64"/>
  <c r="F3" i="64"/>
  <c r="E3" i="64"/>
  <c r="D3" i="64"/>
  <c r="B3" i="64"/>
  <c r="C35" i="64" s="1"/>
  <c r="A35" i="64" s="1"/>
  <c r="DV2" i="64"/>
  <c r="DU2" i="64"/>
  <c r="DT2" i="64"/>
  <c r="DS2" i="64"/>
  <c r="DR2" i="64"/>
  <c r="DQ2" i="64"/>
  <c r="DP2" i="64"/>
  <c r="DO2" i="64"/>
  <c r="DN2" i="64"/>
  <c r="DM2" i="64"/>
  <c r="DL2" i="64"/>
  <c r="DK2" i="64"/>
  <c r="DJ2" i="64"/>
  <c r="DI2" i="64"/>
  <c r="DH2" i="64"/>
  <c r="DG2" i="64"/>
  <c r="DE2" i="64"/>
  <c r="DD2" i="64"/>
  <c r="DA2" i="64"/>
  <c r="CZ2" i="64"/>
  <c r="CY2" i="64"/>
  <c r="CX2" i="64"/>
  <c r="CW2" i="64"/>
  <c r="CV2" i="64"/>
  <c r="CU2" i="64"/>
  <c r="CT2" i="64"/>
  <c r="CS2" i="64"/>
  <c r="CQ2" i="64"/>
  <c r="CP2" i="64"/>
  <c r="CO2" i="64"/>
  <c r="CN2" i="64"/>
  <c r="CM2" i="64"/>
  <c r="CL2" i="64"/>
  <c r="CK2" i="64"/>
  <c r="CJ2" i="64"/>
  <c r="CI2" i="64"/>
  <c r="CH2" i="64"/>
  <c r="CG2" i="64"/>
  <c r="CF2" i="64"/>
  <c r="CE2" i="64"/>
  <c r="CD2" i="64"/>
  <c r="CC2" i="64"/>
  <c r="CB2" i="64"/>
  <c r="BZ2" i="64"/>
  <c r="BY2" i="64"/>
  <c r="BV2" i="64"/>
  <c r="BU2" i="64"/>
  <c r="BT2" i="64"/>
  <c r="BS2" i="64"/>
  <c r="BR2" i="64"/>
  <c r="BQ2" i="64"/>
  <c r="BP2" i="64"/>
  <c r="BO2" i="64"/>
  <c r="BN2" i="64"/>
  <c r="BL2" i="64"/>
  <c r="BK2" i="64"/>
  <c r="BJ2" i="64"/>
  <c r="BI2" i="64"/>
  <c r="BH2" i="64"/>
  <c r="BG2" i="64"/>
  <c r="BF2" i="64"/>
  <c r="BE2" i="64"/>
  <c r="BD2" i="64"/>
  <c r="BC2" i="64"/>
  <c r="BB2" i="64"/>
  <c r="BA2" i="64"/>
  <c r="AZ2" i="64"/>
  <c r="AY2" i="64"/>
  <c r="AX2" i="64"/>
  <c r="AW2" i="64"/>
  <c r="AU2" i="64"/>
  <c r="AT2" i="64"/>
  <c r="AQ2" i="64"/>
  <c r="AP2" i="64"/>
  <c r="AO2" i="64"/>
  <c r="AN2" i="64"/>
  <c r="AM2" i="64"/>
  <c r="AL2" i="64"/>
  <c r="AK2" i="64"/>
  <c r="AJ2" i="64"/>
  <c r="AI2" i="64"/>
  <c r="AG2" i="64"/>
  <c r="AF2" i="64"/>
  <c r="AE2" i="64"/>
  <c r="AD2" i="64"/>
  <c r="AC2" i="64"/>
  <c r="AB2" i="64"/>
  <c r="AA2" i="64"/>
  <c r="Z2" i="64"/>
  <c r="Y2" i="64"/>
  <c r="X2" i="64"/>
  <c r="W2" i="64"/>
  <c r="V2" i="64"/>
  <c r="U2" i="64"/>
  <c r="T2" i="64"/>
  <c r="S2" i="64"/>
  <c r="R2" i="64"/>
  <c r="P2" i="64"/>
  <c r="O2" i="64"/>
  <c r="L2" i="64"/>
  <c r="K2" i="64"/>
  <c r="J2" i="64"/>
  <c r="I2" i="64"/>
  <c r="H2" i="64"/>
  <c r="G2" i="64"/>
  <c r="F2" i="64"/>
  <c r="E2" i="64"/>
  <c r="D2" i="64"/>
  <c r="DV4" i="63"/>
  <c r="DU4" i="63"/>
  <c r="DT4" i="63"/>
  <c r="DS4" i="63"/>
  <c r="DR4" i="63"/>
  <c r="DQ4" i="63"/>
  <c r="DP4" i="63"/>
  <c r="DO4" i="63"/>
  <c r="DN4" i="63"/>
  <c r="DM4" i="63"/>
  <c r="DL4" i="63"/>
  <c r="DK4" i="63"/>
  <c r="DJ4" i="63"/>
  <c r="DI4" i="63"/>
  <c r="DH4" i="63"/>
  <c r="DG4" i="63"/>
  <c r="DE4" i="63"/>
  <c r="DD4" i="63"/>
  <c r="DA4" i="63"/>
  <c r="CZ4" i="63"/>
  <c r="CY4" i="63"/>
  <c r="CX4" i="63"/>
  <c r="CW4" i="63"/>
  <c r="CV4" i="63"/>
  <c r="CU4" i="63"/>
  <c r="CT4" i="63"/>
  <c r="CS4" i="63"/>
  <c r="CQ4" i="63"/>
  <c r="CP4" i="63"/>
  <c r="CO4" i="63"/>
  <c r="CN4" i="63"/>
  <c r="CM4" i="63"/>
  <c r="CL4" i="63"/>
  <c r="CK4" i="63"/>
  <c r="CJ4" i="63"/>
  <c r="CI4" i="63"/>
  <c r="CH4" i="63"/>
  <c r="CG4" i="63"/>
  <c r="CF4" i="63"/>
  <c r="CE4" i="63"/>
  <c r="CD4" i="63"/>
  <c r="CC4" i="63"/>
  <c r="CB4" i="63"/>
  <c r="BZ4" i="63"/>
  <c r="BY4" i="63"/>
  <c r="BV4" i="63"/>
  <c r="BU4" i="63"/>
  <c r="BT4" i="63"/>
  <c r="BS4" i="63"/>
  <c r="BR4" i="63"/>
  <c r="BQ4" i="63"/>
  <c r="BP4" i="63"/>
  <c r="BO4" i="63"/>
  <c r="BN4" i="63"/>
  <c r="BL4" i="63"/>
  <c r="BK4" i="63"/>
  <c r="BJ4" i="63"/>
  <c r="BI4" i="63"/>
  <c r="BH4" i="63"/>
  <c r="BG4" i="63"/>
  <c r="BF4" i="63"/>
  <c r="BE4" i="63"/>
  <c r="BD4" i="63"/>
  <c r="BC4" i="63"/>
  <c r="BB4" i="63"/>
  <c r="BA4" i="63"/>
  <c r="AZ4" i="63"/>
  <c r="AY4" i="63"/>
  <c r="AX4" i="63"/>
  <c r="AW4" i="63"/>
  <c r="AU4" i="63"/>
  <c r="AT4" i="63"/>
  <c r="AQ4" i="63"/>
  <c r="AP4" i="63"/>
  <c r="AO4" i="63"/>
  <c r="AN4" i="63"/>
  <c r="AM4" i="63"/>
  <c r="AL4" i="63"/>
  <c r="AK4" i="63"/>
  <c r="AJ4" i="63"/>
  <c r="AI4" i="63"/>
  <c r="AG4" i="63"/>
  <c r="AF4" i="63"/>
  <c r="AE4" i="63"/>
  <c r="AD4" i="63"/>
  <c r="AC4" i="63"/>
  <c r="AB4" i="63"/>
  <c r="AA4" i="63"/>
  <c r="Z4" i="63"/>
  <c r="Y4" i="63"/>
  <c r="X4" i="63"/>
  <c r="W4" i="63"/>
  <c r="V4" i="63"/>
  <c r="U4" i="63"/>
  <c r="T4" i="63"/>
  <c r="S4" i="63"/>
  <c r="R4" i="63"/>
  <c r="P4" i="63"/>
  <c r="O4" i="63"/>
  <c r="L4" i="63"/>
  <c r="K4" i="63"/>
  <c r="J4" i="63"/>
  <c r="I4" i="63"/>
  <c r="H4" i="63"/>
  <c r="G4" i="63"/>
  <c r="F4" i="63"/>
  <c r="E4" i="63"/>
  <c r="D4" i="63"/>
  <c r="C4" i="63"/>
  <c r="DW3" i="63"/>
  <c r="DV3" i="63"/>
  <c r="DU3" i="63"/>
  <c r="DT3" i="63"/>
  <c r="DS3" i="63"/>
  <c r="DR3" i="63"/>
  <c r="DQ3" i="63"/>
  <c r="DP3" i="63"/>
  <c r="DO3" i="63"/>
  <c r="DN3" i="63"/>
  <c r="DM3" i="63"/>
  <c r="DL3" i="63"/>
  <c r="DK3" i="63"/>
  <c r="DJ3" i="63"/>
  <c r="DI3" i="63"/>
  <c r="DH3" i="63"/>
  <c r="DG3" i="63"/>
  <c r="DE3" i="63"/>
  <c r="DD3" i="63"/>
  <c r="DA3" i="63"/>
  <c r="CZ3" i="63"/>
  <c r="CY3" i="63"/>
  <c r="CX3" i="63"/>
  <c r="CW3" i="63"/>
  <c r="CV3" i="63"/>
  <c r="CU3" i="63"/>
  <c r="CT3" i="63"/>
  <c r="CS3" i="63"/>
  <c r="CR3" i="63"/>
  <c r="CQ3" i="63"/>
  <c r="CP3" i="63"/>
  <c r="CO3" i="63"/>
  <c r="CN3" i="63"/>
  <c r="CM3" i="63"/>
  <c r="CL3" i="63"/>
  <c r="CK3" i="63"/>
  <c r="CJ3" i="63"/>
  <c r="CI3" i="63"/>
  <c r="CH3" i="63"/>
  <c r="CG3" i="63"/>
  <c r="CF3" i="63"/>
  <c r="CE3" i="63"/>
  <c r="CD3" i="63"/>
  <c r="CC3" i="63"/>
  <c r="CB3" i="63"/>
  <c r="BZ3" i="63"/>
  <c r="BY3" i="63"/>
  <c r="BV3" i="63"/>
  <c r="BU3" i="63"/>
  <c r="BT3" i="63"/>
  <c r="BS3" i="63"/>
  <c r="BR3" i="63"/>
  <c r="BQ3" i="63"/>
  <c r="BP3" i="63"/>
  <c r="BO3" i="63"/>
  <c r="BN3" i="63"/>
  <c r="BM3" i="63"/>
  <c r="BL3" i="63"/>
  <c r="BK3" i="63"/>
  <c r="BJ3" i="63"/>
  <c r="BI3" i="63"/>
  <c r="BH3" i="63"/>
  <c r="BG3" i="63"/>
  <c r="BF3" i="63"/>
  <c r="BE3" i="63"/>
  <c r="BD3" i="63"/>
  <c r="BC3" i="63"/>
  <c r="BB3" i="63"/>
  <c r="BA3" i="63"/>
  <c r="AZ3" i="63"/>
  <c r="AY3" i="63"/>
  <c r="AX3" i="63"/>
  <c r="AW3" i="63"/>
  <c r="AU3" i="63"/>
  <c r="AT3" i="63"/>
  <c r="AQ3" i="63"/>
  <c r="AP3" i="63"/>
  <c r="AO3" i="63"/>
  <c r="AN3" i="63"/>
  <c r="AM3" i="63"/>
  <c r="AL3" i="63"/>
  <c r="AK3" i="63"/>
  <c r="AJ3" i="63"/>
  <c r="AI3" i="63"/>
  <c r="AH3" i="63"/>
  <c r="AG3" i="63"/>
  <c r="AF3" i="63"/>
  <c r="AE3" i="63"/>
  <c r="AD3" i="63"/>
  <c r="AC3" i="63"/>
  <c r="AB3" i="63"/>
  <c r="AA3" i="63"/>
  <c r="Z3" i="63"/>
  <c r="Y3" i="63"/>
  <c r="X3" i="63"/>
  <c r="W3" i="63"/>
  <c r="V3" i="63"/>
  <c r="U3" i="63"/>
  <c r="T3" i="63"/>
  <c r="S3" i="63"/>
  <c r="R3" i="63"/>
  <c r="P3" i="63"/>
  <c r="O3" i="63"/>
  <c r="L3" i="63"/>
  <c r="K3" i="63"/>
  <c r="J3" i="63"/>
  <c r="I3" i="63"/>
  <c r="H3" i="63"/>
  <c r="G3" i="63"/>
  <c r="F3" i="63"/>
  <c r="E3" i="63"/>
  <c r="D3" i="63"/>
  <c r="B3" i="63"/>
  <c r="C35" i="63" s="1"/>
  <c r="A35" i="63" s="1"/>
  <c r="DV2" i="63"/>
  <c r="DU2" i="63"/>
  <c r="DT2" i="63"/>
  <c r="DS2" i="63"/>
  <c r="DR2" i="63"/>
  <c r="DQ2" i="63"/>
  <c r="DP2" i="63"/>
  <c r="DO2" i="63"/>
  <c r="DN2" i="63"/>
  <c r="DM2" i="63"/>
  <c r="DL2" i="63"/>
  <c r="DK2" i="63"/>
  <c r="DJ2" i="63"/>
  <c r="DI2" i="63"/>
  <c r="DH2" i="63"/>
  <c r="DG2" i="63"/>
  <c r="DE2" i="63"/>
  <c r="DD2" i="63"/>
  <c r="DA2" i="63"/>
  <c r="CZ2" i="63"/>
  <c r="CY2" i="63"/>
  <c r="CX2" i="63"/>
  <c r="CW2" i="63"/>
  <c r="CV2" i="63"/>
  <c r="CU2" i="63"/>
  <c r="CT2" i="63"/>
  <c r="CS2" i="63"/>
  <c r="CQ2" i="63"/>
  <c r="CP2" i="63"/>
  <c r="CO2" i="63"/>
  <c r="CN2" i="63"/>
  <c r="CM2" i="63"/>
  <c r="CL2" i="63"/>
  <c r="CK2" i="63"/>
  <c r="CJ2" i="63"/>
  <c r="CI2" i="63"/>
  <c r="CH2" i="63"/>
  <c r="CG2" i="63"/>
  <c r="CF2" i="63"/>
  <c r="CE2" i="63"/>
  <c r="CD2" i="63"/>
  <c r="CC2" i="63"/>
  <c r="CB2" i="63"/>
  <c r="BZ2" i="63"/>
  <c r="BY2" i="63"/>
  <c r="BV2" i="63"/>
  <c r="BU2" i="63"/>
  <c r="BT2" i="63"/>
  <c r="BS2" i="63"/>
  <c r="BR2" i="63"/>
  <c r="BQ2" i="63"/>
  <c r="BP2" i="63"/>
  <c r="BO2" i="63"/>
  <c r="BN2" i="63"/>
  <c r="BL2" i="63"/>
  <c r="BK2" i="63"/>
  <c r="BJ2" i="63"/>
  <c r="BI2" i="63"/>
  <c r="BH2" i="63"/>
  <c r="BG2" i="63"/>
  <c r="BF2" i="63"/>
  <c r="BE2" i="63"/>
  <c r="BD2" i="63"/>
  <c r="BC2" i="63"/>
  <c r="BB2" i="63"/>
  <c r="BA2" i="63"/>
  <c r="AZ2" i="63"/>
  <c r="AY2" i="63"/>
  <c r="AX2" i="63"/>
  <c r="AW2" i="63"/>
  <c r="AU2" i="63"/>
  <c r="AT2" i="63"/>
  <c r="AQ2" i="63"/>
  <c r="AP2" i="63"/>
  <c r="AO2" i="63"/>
  <c r="AN2" i="63"/>
  <c r="AM2" i="63"/>
  <c r="AL2" i="63"/>
  <c r="AK2" i="63"/>
  <c r="AJ2" i="63"/>
  <c r="AI2" i="63"/>
  <c r="AG2" i="63"/>
  <c r="AF2" i="63"/>
  <c r="AE2" i="63"/>
  <c r="AD2" i="63"/>
  <c r="AC2" i="63"/>
  <c r="AB2" i="63"/>
  <c r="AA2" i="63"/>
  <c r="Z2" i="63"/>
  <c r="Y2" i="63"/>
  <c r="X2" i="63"/>
  <c r="W2" i="63"/>
  <c r="V2" i="63"/>
  <c r="U2" i="63"/>
  <c r="T2" i="63"/>
  <c r="S2" i="63"/>
  <c r="R2" i="63"/>
  <c r="P2" i="63"/>
  <c r="O2" i="63"/>
  <c r="L2" i="63"/>
  <c r="K2" i="63"/>
  <c r="J2" i="63"/>
  <c r="I2" i="63"/>
  <c r="H2" i="63"/>
  <c r="G2" i="63"/>
  <c r="F2" i="63"/>
  <c r="E2" i="63"/>
  <c r="D2" i="63"/>
  <c r="DV4" i="62"/>
  <c r="DU4" i="62"/>
  <c r="DT4" i="62"/>
  <c r="DS4" i="62"/>
  <c r="DR4" i="62"/>
  <c r="DQ4" i="62"/>
  <c r="DP4" i="62"/>
  <c r="DO4" i="62"/>
  <c r="DN4" i="62"/>
  <c r="DM4" i="62"/>
  <c r="DL4" i="62"/>
  <c r="DK4" i="62"/>
  <c r="DJ4" i="62"/>
  <c r="DI4" i="62"/>
  <c r="DH4" i="62"/>
  <c r="DG4" i="62"/>
  <c r="DE4" i="62"/>
  <c r="DD4" i="62"/>
  <c r="DA4" i="62"/>
  <c r="CZ4" i="62"/>
  <c r="CY4" i="62"/>
  <c r="CX4" i="62"/>
  <c r="CW4" i="62"/>
  <c r="CV4" i="62"/>
  <c r="CU4" i="62"/>
  <c r="CT4" i="62"/>
  <c r="CS4" i="62"/>
  <c r="CQ4" i="62"/>
  <c r="CP4" i="62"/>
  <c r="CO4" i="62"/>
  <c r="CN4" i="62"/>
  <c r="CM4" i="62"/>
  <c r="CL4" i="62"/>
  <c r="CK4" i="62"/>
  <c r="CJ4" i="62"/>
  <c r="CI4" i="62"/>
  <c r="CH4" i="62"/>
  <c r="CG4" i="62"/>
  <c r="CF4" i="62"/>
  <c r="CE4" i="62"/>
  <c r="CD4" i="62"/>
  <c r="CC4" i="62"/>
  <c r="CB4" i="62"/>
  <c r="BZ4" i="62"/>
  <c r="BY4" i="62"/>
  <c r="BV4" i="62"/>
  <c r="BU4" i="62"/>
  <c r="BT4" i="62"/>
  <c r="BS4" i="62"/>
  <c r="BR4" i="62"/>
  <c r="BQ4" i="62"/>
  <c r="BP4" i="62"/>
  <c r="BO4" i="62"/>
  <c r="BN4" i="62"/>
  <c r="BL4" i="62"/>
  <c r="BK4" i="62"/>
  <c r="BJ4" i="62"/>
  <c r="BI4" i="62"/>
  <c r="BH4" i="62"/>
  <c r="BG4" i="62"/>
  <c r="BF4" i="62"/>
  <c r="BE4" i="62"/>
  <c r="BD4" i="62"/>
  <c r="BC4" i="62"/>
  <c r="BB4" i="62"/>
  <c r="BA4" i="62"/>
  <c r="AZ4" i="62"/>
  <c r="AY4" i="62"/>
  <c r="AX4" i="62"/>
  <c r="AW4" i="62"/>
  <c r="AU4" i="62"/>
  <c r="AT4" i="62"/>
  <c r="AQ4" i="62"/>
  <c r="AP4" i="62"/>
  <c r="AO4" i="62"/>
  <c r="AN4" i="62"/>
  <c r="AM4" i="62"/>
  <c r="AL4" i="62"/>
  <c r="AK4" i="62"/>
  <c r="AJ4" i="62"/>
  <c r="AI4" i="62"/>
  <c r="AG4" i="62"/>
  <c r="AF4" i="62"/>
  <c r="AE4" i="62"/>
  <c r="AD4" i="62"/>
  <c r="AC4" i="62"/>
  <c r="AB4" i="62"/>
  <c r="AA4" i="62"/>
  <c r="Z4" i="62"/>
  <c r="Y4" i="62"/>
  <c r="X4" i="62"/>
  <c r="W4" i="62"/>
  <c r="V4" i="62"/>
  <c r="U4" i="62"/>
  <c r="T4" i="62"/>
  <c r="S4" i="62"/>
  <c r="R4" i="62"/>
  <c r="P4" i="62"/>
  <c r="O4" i="62"/>
  <c r="L4" i="62"/>
  <c r="K4" i="62"/>
  <c r="J4" i="62"/>
  <c r="I4" i="62"/>
  <c r="H4" i="62"/>
  <c r="G4" i="62"/>
  <c r="F4" i="62"/>
  <c r="E4" i="62"/>
  <c r="D4" i="62"/>
  <c r="C4" i="62"/>
  <c r="DW3" i="62"/>
  <c r="DV3" i="62"/>
  <c r="DU3" i="62"/>
  <c r="DT3" i="62"/>
  <c r="DS3" i="62"/>
  <c r="DR3" i="62"/>
  <c r="DQ3" i="62"/>
  <c r="DP3" i="62"/>
  <c r="DO3" i="62"/>
  <c r="DN3" i="62"/>
  <c r="DM3" i="62"/>
  <c r="DL3" i="62"/>
  <c r="DK3" i="62"/>
  <c r="DJ3" i="62"/>
  <c r="DI3" i="62"/>
  <c r="DH3" i="62"/>
  <c r="DG3" i="62"/>
  <c r="DE3" i="62"/>
  <c r="DD3" i="62"/>
  <c r="DA3" i="62"/>
  <c r="CZ3" i="62"/>
  <c r="CY3" i="62"/>
  <c r="CX3" i="62"/>
  <c r="CW3" i="62"/>
  <c r="CV3" i="62"/>
  <c r="CU3" i="62"/>
  <c r="CT3" i="62"/>
  <c r="CS3" i="62"/>
  <c r="CR3" i="62"/>
  <c r="CQ3" i="62"/>
  <c r="CP3" i="62"/>
  <c r="CO3" i="62"/>
  <c r="CN3" i="62"/>
  <c r="CM3" i="62"/>
  <c r="CL3" i="62"/>
  <c r="CK3" i="62"/>
  <c r="CJ3" i="62"/>
  <c r="CI3" i="62"/>
  <c r="CH3" i="62"/>
  <c r="CG3" i="62"/>
  <c r="CF3" i="62"/>
  <c r="CE3" i="62"/>
  <c r="CD3" i="62"/>
  <c r="CC3" i="62"/>
  <c r="CB3" i="62"/>
  <c r="BZ3" i="62"/>
  <c r="BY3" i="62"/>
  <c r="BV3" i="62"/>
  <c r="BU3" i="62"/>
  <c r="BT3" i="62"/>
  <c r="BS3" i="62"/>
  <c r="BR3" i="62"/>
  <c r="BQ3" i="62"/>
  <c r="BP3" i="62"/>
  <c r="BO3" i="62"/>
  <c r="BN3" i="62"/>
  <c r="BM3" i="62"/>
  <c r="BL3" i="62"/>
  <c r="BK3" i="62"/>
  <c r="BJ3" i="62"/>
  <c r="BI3" i="62"/>
  <c r="BH3" i="62"/>
  <c r="BG3" i="62"/>
  <c r="BF3" i="62"/>
  <c r="BE3" i="62"/>
  <c r="BD3" i="62"/>
  <c r="BC3" i="62"/>
  <c r="BB3" i="62"/>
  <c r="BA3" i="62"/>
  <c r="AZ3" i="62"/>
  <c r="AY3" i="62"/>
  <c r="AX3" i="62"/>
  <c r="AW3" i="62"/>
  <c r="AU3" i="62"/>
  <c r="AT3" i="62"/>
  <c r="AQ3" i="62"/>
  <c r="AP3" i="62"/>
  <c r="AO3" i="62"/>
  <c r="AN3" i="62"/>
  <c r="AM3" i="62"/>
  <c r="AL3" i="62"/>
  <c r="AK3" i="62"/>
  <c r="AJ3" i="62"/>
  <c r="AI3" i="62"/>
  <c r="AH3" i="62"/>
  <c r="AG3" i="62"/>
  <c r="AF3" i="62"/>
  <c r="AE3" i="62"/>
  <c r="AD3" i="62"/>
  <c r="AC3" i="62"/>
  <c r="AB3" i="62"/>
  <c r="AA3" i="62"/>
  <c r="Z3" i="62"/>
  <c r="Y3" i="62"/>
  <c r="X3" i="62"/>
  <c r="W3" i="62"/>
  <c r="V3" i="62"/>
  <c r="U3" i="62"/>
  <c r="T3" i="62"/>
  <c r="S3" i="62"/>
  <c r="R3" i="62"/>
  <c r="P3" i="62"/>
  <c r="O3" i="62"/>
  <c r="L3" i="62"/>
  <c r="K3" i="62"/>
  <c r="J3" i="62"/>
  <c r="I3" i="62"/>
  <c r="H3" i="62"/>
  <c r="G3" i="62"/>
  <c r="F3" i="62"/>
  <c r="E3" i="62"/>
  <c r="D3" i="62"/>
  <c r="B3" i="62"/>
  <c r="A35" i="62" s="1"/>
  <c r="DV2" i="62"/>
  <c r="DU2" i="62"/>
  <c r="DT2" i="62"/>
  <c r="DS2" i="62"/>
  <c r="DR2" i="62"/>
  <c r="DQ2" i="62"/>
  <c r="DP2" i="62"/>
  <c r="DO2" i="62"/>
  <c r="DN2" i="62"/>
  <c r="DM2" i="62"/>
  <c r="DL2" i="62"/>
  <c r="DK2" i="62"/>
  <c r="DJ2" i="62"/>
  <c r="DI2" i="62"/>
  <c r="DH2" i="62"/>
  <c r="DG2" i="62"/>
  <c r="DE2" i="62"/>
  <c r="DD2" i="62"/>
  <c r="DA2" i="62"/>
  <c r="CZ2" i="62"/>
  <c r="CY2" i="62"/>
  <c r="CX2" i="62"/>
  <c r="CW2" i="62"/>
  <c r="CV2" i="62"/>
  <c r="CU2" i="62"/>
  <c r="CT2" i="62"/>
  <c r="CS2" i="62"/>
  <c r="CQ2" i="62"/>
  <c r="CP2" i="62"/>
  <c r="CO2" i="62"/>
  <c r="CN2" i="62"/>
  <c r="CM2" i="62"/>
  <c r="CL2" i="62"/>
  <c r="CK2" i="62"/>
  <c r="CJ2" i="62"/>
  <c r="CI2" i="62"/>
  <c r="CH2" i="62"/>
  <c r="CG2" i="62"/>
  <c r="CF2" i="62"/>
  <c r="CE2" i="62"/>
  <c r="CD2" i="62"/>
  <c r="CC2" i="62"/>
  <c r="CB2" i="62"/>
  <c r="BZ2" i="62"/>
  <c r="BY2" i="62"/>
  <c r="BV2" i="62"/>
  <c r="BU2" i="62"/>
  <c r="BT2" i="62"/>
  <c r="BS2" i="62"/>
  <c r="BR2" i="62"/>
  <c r="BQ2" i="62"/>
  <c r="BP2" i="62"/>
  <c r="BO2" i="62"/>
  <c r="BN2" i="62"/>
  <c r="BL2" i="62"/>
  <c r="BK2" i="62"/>
  <c r="BJ2" i="62"/>
  <c r="BI2" i="62"/>
  <c r="BH2" i="62"/>
  <c r="BG2" i="62"/>
  <c r="BF2" i="62"/>
  <c r="BE2" i="62"/>
  <c r="BD2" i="62"/>
  <c r="BC2" i="62"/>
  <c r="BB2" i="62"/>
  <c r="BA2" i="62"/>
  <c r="AZ2" i="62"/>
  <c r="AY2" i="62"/>
  <c r="AX2" i="62"/>
  <c r="AW2" i="62"/>
  <c r="AU2" i="62"/>
  <c r="AT2" i="62"/>
  <c r="AQ2" i="62"/>
  <c r="AP2" i="62"/>
  <c r="AO2" i="62"/>
  <c r="AN2" i="62"/>
  <c r="AM2" i="62"/>
  <c r="AL2" i="62"/>
  <c r="AK2" i="62"/>
  <c r="AJ2" i="62"/>
  <c r="AI2" i="62"/>
  <c r="AG2" i="62"/>
  <c r="AF2" i="62"/>
  <c r="AE2" i="62"/>
  <c r="AD2" i="62"/>
  <c r="AC2" i="62"/>
  <c r="AB2" i="62"/>
  <c r="AA2" i="62"/>
  <c r="Z2" i="62"/>
  <c r="Y2" i="62"/>
  <c r="X2" i="62"/>
  <c r="W2" i="62"/>
  <c r="V2" i="62"/>
  <c r="U2" i="62"/>
  <c r="T2" i="62"/>
  <c r="S2" i="62"/>
  <c r="R2" i="62"/>
  <c r="P2" i="62"/>
  <c r="O2" i="62"/>
  <c r="L2" i="62"/>
  <c r="K2" i="62"/>
  <c r="J2" i="62"/>
  <c r="I2" i="62"/>
  <c r="H2" i="62"/>
  <c r="G2" i="62"/>
  <c r="F2" i="62"/>
  <c r="E2" i="62"/>
  <c r="D2" i="62"/>
  <c r="DW3" i="12"/>
  <c r="DV4" i="12"/>
  <c r="DU4" i="12"/>
  <c r="DT4" i="12"/>
  <c r="DS4" i="12"/>
  <c r="DR4" i="12"/>
  <c r="DQ4" i="12"/>
  <c r="DP4" i="12"/>
  <c r="DO4" i="12"/>
  <c r="DN4" i="12"/>
  <c r="DM4" i="12"/>
  <c r="DL4" i="12"/>
  <c r="DK4" i="12"/>
  <c r="DJ4" i="12"/>
  <c r="DI4" i="12"/>
  <c r="DH4" i="12"/>
  <c r="DG4" i="12"/>
  <c r="DE4" i="12"/>
  <c r="DD4" i="12"/>
  <c r="DA4" i="12"/>
  <c r="CZ4" i="12"/>
  <c r="CY4" i="12"/>
  <c r="CX4" i="12"/>
  <c r="CW4" i="12"/>
  <c r="CV4" i="12"/>
  <c r="CU4" i="12"/>
  <c r="CT4" i="12"/>
  <c r="CS4" i="12"/>
  <c r="DV3" i="12"/>
  <c r="DU3" i="12"/>
  <c r="DT3" i="12"/>
  <c r="DS3" i="12"/>
  <c r="DR3" i="12"/>
  <c r="DQ3" i="12"/>
  <c r="DP3" i="12"/>
  <c r="DO3" i="12"/>
  <c r="DN3" i="12"/>
  <c r="DM3" i="12"/>
  <c r="DL3" i="12"/>
  <c r="DK3" i="12"/>
  <c r="DJ3" i="12"/>
  <c r="DI3" i="12"/>
  <c r="DH3" i="12"/>
  <c r="DG3" i="12"/>
  <c r="DE3" i="12"/>
  <c r="DD3" i="12"/>
  <c r="DA3" i="12"/>
  <c r="CZ3" i="12"/>
  <c r="CY3" i="12"/>
  <c r="CX3" i="12"/>
  <c r="CW3" i="12"/>
  <c r="CV3" i="12"/>
  <c r="CU3" i="12"/>
  <c r="CT3" i="12"/>
  <c r="CS3" i="12"/>
  <c r="DV2" i="12"/>
  <c r="DU2" i="12"/>
  <c r="DT2" i="12"/>
  <c r="DS2" i="12"/>
  <c r="DR2" i="12"/>
  <c r="DQ2" i="12"/>
  <c r="DP2" i="12"/>
  <c r="DO2" i="12"/>
  <c r="DN2" i="12"/>
  <c r="DM2" i="12"/>
  <c r="DL2" i="12"/>
  <c r="DK2" i="12"/>
  <c r="DJ2" i="12"/>
  <c r="DI2" i="12"/>
  <c r="DH2" i="12"/>
  <c r="DG2" i="12"/>
  <c r="DE2" i="12"/>
  <c r="DD2" i="12"/>
  <c r="DA2" i="12"/>
  <c r="CZ2" i="12"/>
  <c r="CY2" i="12"/>
  <c r="CX2" i="12"/>
  <c r="CW2" i="12"/>
  <c r="CV2" i="12"/>
  <c r="CU2" i="12"/>
  <c r="CT2" i="12"/>
  <c r="CS2" i="12"/>
  <c r="CQ4" i="12"/>
  <c r="CP4" i="12"/>
  <c r="CO4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BZ4" i="12"/>
  <c r="BY4" i="12"/>
  <c r="BV4" i="12"/>
  <c r="BU4" i="12"/>
  <c r="BT4" i="12"/>
  <c r="BS4" i="12"/>
  <c r="BR4" i="12"/>
  <c r="BQ4" i="12"/>
  <c r="BP4" i="12"/>
  <c r="BO4" i="12"/>
  <c r="BN4" i="12"/>
  <c r="CQ3" i="12"/>
  <c r="CP3" i="12"/>
  <c r="CO3" i="12"/>
  <c r="CN3" i="12"/>
  <c r="CM3" i="12"/>
  <c r="CL3" i="12"/>
  <c r="CK3" i="12"/>
  <c r="CJ3" i="12"/>
  <c r="CI3" i="12"/>
  <c r="CH3" i="12"/>
  <c r="CG3" i="12"/>
  <c r="CF3" i="12"/>
  <c r="CE3" i="12"/>
  <c r="CD3" i="12"/>
  <c r="CC3" i="12"/>
  <c r="CB3" i="12"/>
  <c r="BZ3" i="12"/>
  <c r="BY3" i="12"/>
  <c r="BV3" i="12"/>
  <c r="BU3" i="12"/>
  <c r="BT3" i="12"/>
  <c r="BS3" i="12"/>
  <c r="BR3" i="12"/>
  <c r="BQ3" i="12"/>
  <c r="BP3" i="12"/>
  <c r="BO3" i="12"/>
  <c r="BN3" i="12"/>
  <c r="CQ2" i="12"/>
  <c r="CP2" i="12"/>
  <c r="CO2" i="12"/>
  <c r="CN2" i="12"/>
  <c r="CM2" i="12"/>
  <c r="CL2" i="12"/>
  <c r="CK2" i="12"/>
  <c r="CJ2" i="12"/>
  <c r="CI2" i="12"/>
  <c r="CH2" i="12"/>
  <c r="CG2" i="12"/>
  <c r="CF2" i="12"/>
  <c r="CE2" i="12"/>
  <c r="CD2" i="12"/>
  <c r="CC2" i="12"/>
  <c r="CB2" i="12"/>
  <c r="BZ2" i="12"/>
  <c r="BY2" i="12"/>
  <c r="BV2" i="12"/>
  <c r="BU2" i="12"/>
  <c r="BT2" i="12"/>
  <c r="BS2" i="12"/>
  <c r="BR2" i="12"/>
  <c r="BQ2" i="12"/>
  <c r="BP2" i="12"/>
  <c r="BO2" i="12"/>
  <c r="BN2" i="12"/>
  <c r="CR3" i="12"/>
  <c r="BM3" i="12"/>
  <c r="AH3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U4" i="12"/>
  <c r="AT4" i="12"/>
  <c r="AQ4" i="12"/>
  <c r="AP4" i="12"/>
  <c r="AO4" i="12"/>
  <c r="AN4" i="12"/>
  <c r="AM4" i="12"/>
  <c r="AL4" i="12"/>
  <c r="AK4" i="12"/>
  <c r="AJ4" i="12"/>
  <c r="AI4" i="12"/>
  <c r="BL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U3" i="12"/>
  <c r="AT3" i="12"/>
  <c r="AQ3" i="12"/>
  <c r="AP3" i="12"/>
  <c r="AO3" i="12"/>
  <c r="AN3" i="12"/>
  <c r="AM3" i="12"/>
  <c r="AL3" i="12"/>
  <c r="AK3" i="12"/>
  <c r="AJ3" i="12"/>
  <c r="AI3" i="12"/>
  <c r="BL2" i="12"/>
  <c r="BK2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U2" i="12"/>
  <c r="AT2" i="12"/>
  <c r="AQ2" i="12"/>
  <c r="AP2" i="12"/>
  <c r="AO2" i="12"/>
  <c r="AN2" i="12"/>
  <c r="AM2" i="12"/>
  <c r="AL2" i="12"/>
  <c r="AK2" i="12"/>
  <c r="AJ2" i="12"/>
  <c r="AI2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P4" i="12"/>
  <c r="O4" i="12"/>
  <c r="L4" i="12"/>
  <c r="K4" i="12"/>
  <c r="J4" i="12"/>
  <c r="I4" i="12"/>
  <c r="H4" i="12"/>
  <c r="G4" i="12"/>
  <c r="F4" i="12"/>
  <c r="E4" i="12"/>
  <c r="D4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P3" i="12"/>
  <c r="O3" i="12"/>
  <c r="L3" i="12"/>
  <c r="K3" i="12"/>
  <c r="J3" i="12"/>
  <c r="I3" i="12"/>
  <c r="H3" i="12"/>
  <c r="G3" i="12"/>
  <c r="F3" i="12"/>
  <c r="E3" i="12"/>
  <c r="D3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P2" i="12"/>
  <c r="O2" i="12"/>
  <c r="L2" i="12"/>
  <c r="K2" i="12"/>
  <c r="J2" i="12"/>
  <c r="I2" i="12"/>
  <c r="H2" i="12"/>
  <c r="G2" i="12"/>
  <c r="F2" i="12"/>
  <c r="E2" i="12"/>
  <c r="D2" i="12"/>
  <c r="CR3" i="61"/>
  <c r="DW3" i="61"/>
  <c r="DV4" i="61"/>
  <c r="DU4" i="61"/>
  <c r="DT4" i="61"/>
  <c r="DS4" i="61"/>
  <c r="DR4" i="61"/>
  <c r="DQ4" i="61"/>
  <c r="DP4" i="61"/>
  <c r="DO4" i="61"/>
  <c r="DN4" i="61"/>
  <c r="DM4" i="61"/>
  <c r="DL4" i="61"/>
  <c r="DK4" i="61"/>
  <c r="DJ4" i="61"/>
  <c r="DI4" i="61"/>
  <c r="DH4" i="61"/>
  <c r="DG4" i="61"/>
  <c r="DE4" i="61"/>
  <c r="DD4" i="61"/>
  <c r="DA4" i="61"/>
  <c r="CZ4" i="61"/>
  <c r="CY4" i="61"/>
  <c r="CX4" i="61"/>
  <c r="CW4" i="61"/>
  <c r="CV4" i="61"/>
  <c r="CU4" i="61"/>
  <c r="CT4" i="61"/>
  <c r="CS4" i="61"/>
  <c r="DV3" i="61"/>
  <c r="DU3" i="61"/>
  <c r="DT3" i="61"/>
  <c r="DS3" i="61"/>
  <c r="DR3" i="61"/>
  <c r="DQ3" i="61"/>
  <c r="DP3" i="61"/>
  <c r="DO3" i="61"/>
  <c r="DN3" i="61"/>
  <c r="DM3" i="61"/>
  <c r="DL3" i="61"/>
  <c r="DK3" i="61"/>
  <c r="DJ3" i="61"/>
  <c r="DI3" i="61"/>
  <c r="DH3" i="61"/>
  <c r="DG3" i="61"/>
  <c r="DE3" i="61"/>
  <c r="DD3" i="61"/>
  <c r="DA3" i="61"/>
  <c r="CZ3" i="61"/>
  <c r="CY3" i="61"/>
  <c r="CX3" i="61"/>
  <c r="CW3" i="61"/>
  <c r="CV3" i="61"/>
  <c r="CU3" i="61"/>
  <c r="CT3" i="61"/>
  <c r="CS3" i="61"/>
  <c r="DV2" i="61"/>
  <c r="DU2" i="61"/>
  <c r="DT2" i="61"/>
  <c r="DS2" i="61"/>
  <c r="DR2" i="61"/>
  <c r="DQ2" i="61"/>
  <c r="DP2" i="61"/>
  <c r="DO2" i="61"/>
  <c r="DN2" i="61"/>
  <c r="DM2" i="61"/>
  <c r="DL2" i="61"/>
  <c r="DK2" i="61"/>
  <c r="DJ2" i="61"/>
  <c r="DI2" i="61"/>
  <c r="DH2" i="61"/>
  <c r="DG2" i="61"/>
  <c r="DE2" i="61"/>
  <c r="DD2" i="61"/>
  <c r="DA2" i="61"/>
  <c r="CZ2" i="61"/>
  <c r="CY2" i="61"/>
  <c r="CX2" i="61"/>
  <c r="CW2" i="61"/>
  <c r="CV2" i="61"/>
  <c r="CU2" i="61"/>
  <c r="CT2" i="61"/>
  <c r="CS2" i="61"/>
  <c r="BM3" i="61"/>
  <c r="CQ4" i="61"/>
  <c r="CP4" i="61"/>
  <c r="CO4" i="61"/>
  <c r="CN4" i="61"/>
  <c r="CM4" i="61"/>
  <c r="CL4" i="61"/>
  <c r="CK4" i="61"/>
  <c r="CJ4" i="61"/>
  <c r="CI4" i="61"/>
  <c r="CH4" i="61"/>
  <c r="CG4" i="61"/>
  <c r="CF4" i="61"/>
  <c r="CE4" i="61"/>
  <c r="CD4" i="61"/>
  <c r="CC4" i="61"/>
  <c r="CB4" i="61"/>
  <c r="BZ4" i="61"/>
  <c r="BY4" i="61"/>
  <c r="BV4" i="61"/>
  <c r="BU4" i="61"/>
  <c r="BT4" i="61"/>
  <c r="BS4" i="61"/>
  <c r="BR4" i="61"/>
  <c r="BQ4" i="61"/>
  <c r="BP4" i="61"/>
  <c r="BO4" i="61"/>
  <c r="BN4" i="61"/>
  <c r="CQ3" i="61"/>
  <c r="CP3" i="61"/>
  <c r="CO3" i="61"/>
  <c r="CN3" i="61"/>
  <c r="CM3" i="61"/>
  <c r="CL3" i="61"/>
  <c r="CK3" i="61"/>
  <c r="CJ3" i="61"/>
  <c r="CI3" i="61"/>
  <c r="CH3" i="61"/>
  <c r="CG3" i="61"/>
  <c r="CF3" i="61"/>
  <c r="CE3" i="61"/>
  <c r="CD3" i="61"/>
  <c r="CC3" i="61"/>
  <c r="CB3" i="61"/>
  <c r="BZ3" i="61"/>
  <c r="BY3" i="61"/>
  <c r="BV3" i="61"/>
  <c r="BU3" i="61"/>
  <c r="BT3" i="61"/>
  <c r="BS3" i="61"/>
  <c r="BR3" i="61"/>
  <c r="BQ3" i="61"/>
  <c r="BP3" i="61"/>
  <c r="BO3" i="61"/>
  <c r="BN3" i="61"/>
  <c r="CQ2" i="61"/>
  <c r="CP2" i="61"/>
  <c r="CO2" i="61"/>
  <c r="CN2" i="61"/>
  <c r="CM2" i="61"/>
  <c r="CL2" i="61"/>
  <c r="CK2" i="61"/>
  <c r="CJ2" i="61"/>
  <c r="CI2" i="61"/>
  <c r="CH2" i="61"/>
  <c r="CG2" i="61"/>
  <c r="CF2" i="61"/>
  <c r="CE2" i="61"/>
  <c r="CD2" i="61"/>
  <c r="CC2" i="61"/>
  <c r="CB2" i="61"/>
  <c r="BZ2" i="61"/>
  <c r="BY2" i="61"/>
  <c r="BV2" i="61"/>
  <c r="BU2" i="61"/>
  <c r="BT2" i="61"/>
  <c r="BS2" i="61"/>
  <c r="BR2" i="61"/>
  <c r="BQ2" i="61"/>
  <c r="BP2" i="61"/>
  <c r="BO2" i="61"/>
  <c r="BN2" i="61"/>
  <c r="BL2" i="61"/>
  <c r="BK2" i="61"/>
  <c r="BJ2" i="61"/>
  <c r="BI2" i="61"/>
  <c r="BH2" i="61"/>
  <c r="BG2" i="61"/>
  <c r="BF2" i="61"/>
  <c r="BE2" i="61"/>
  <c r="BD2" i="61"/>
  <c r="BC2" i="61"/>
  <c r="BB2" i="61"/>
  <c r="BA2" i="61"/>
  <c r="AZ2" i="61"/>
  <c r="AY2" i="61"/>
  <c r="AX2" i="61"/>
  <c r="AW2" i="61"/>
  <c r="AU2" i="61"/>
  <c r="AT2" i="61"/>
  <c r="AQ2" i="61"/>
  <c r="AP2" i="61"/>
  <c r="AO2" i="61"/>
  <c r="AN2" i="61"/>
  <c r="AM2" i="61"/>
  <c r="AL2" i="61"/>
  <c r="AK2" i="61"/>
  <c r="AJ2" i="61"/>
  <c r="AI2" i="61"/>
  <c r="BL3" i="61"/>
  <c r="BK3" i="61"/>
  <c r="BJ3" i="61"/>
  <c r="BI3" i="61"/>
  <c r="BH3" i="61"/>
  <c r="BG3" i="61"/>
  <c r="BF3" i="61"/>
  <c r="BE3" i="61"/>
  <c r="BD3" i="61"/>
  <c r="BC3" i="61"/>
  <c r="BB3" i="61"/>
  <c r="BA3" i="61"/>
  <c r="AZ3" i="61"/>
  <c r="AY3" i="61"/>
  <c r="AX3" i="61"/>
  <c r="AW3" i="61"/>
  <c r="AU3" i="61"/>
  <c r="AT3" i="61"/>
  <c r="AQ3" i="61"/>
  <c r="AP3" i="61"/>
  <c r="AO3" i="61"/>
  <c r="AN3" i="61"/>
  <c r="AM3" i="61"/>
  <c r="BL4" i="61"/>
  <c r="BK4" i="61"/>
  <c r="BJ4" i="61"/>
  <c r="BI4" i="61"/>
  <c r="BH4" i="61"/>
  <c r="BG4" i="61"/>
  <c r="BF4" i="61"/>
  <c r="BE4" i="61"/>
  <c r="BD4" i="61"/>
  <c r="BC4" i="61"/>
  <c r="BB4" i="61"/>
  <c r="BA4" i="61"/>
  <c r="AZ4" i="61"/>
  <c r="AY4" i="61"/>
  <c r="AX4" i="61"/>
  <c r="AW4" i="61"/>
  <c r="AU4" i="61"/>
  <c r="AT4" i="61"/>
  <c r="AQ4" i="61"/>
  <c r="AP4" i="61"/>
  <c r="AO4" i="61"/>
  <c r="AN4" i="61"/>
  <c r="AM4" i="61"/>
  <c r="AL4" i="61"/>
  <c r="AK4" i="61"/>
  <c r="AJ4" i="61"/>
  <c r="AI4" i="61"/>
  <c r="AL3" i="61"/>
  <c r="AK3" i="61"/>
  <c r="AJ3" i="61"/>
  <c r="AI3" i="61"/>
  <c r="C14" i="69" l="1"/>
  <c r="A14" i="69" s="1"/>
  <c r="C18" i="69"/>
  <c r="A18" i="69" s="1"/>
  <c r="C34" i="69"/>
  <c r="A34" i="69" s="1"/>
  <c r="C6" i="69"/>
  <c r="A6" i="69" s="1"/>
  <c r="C22" i="69"/>
  <c r="A22" i="69" s="1"/>
  <c r="C30" i="69"/>
  <c r="A30" i="69" s="1"/>
  <c r="C10" i="69"/>
  <c r="A10" i="69" s="1"/>
  <c r="C26" i="69"/>
  <c r="A26" i="69" s="1"/>
  <c r="C11" i="68"/>
  <c r="A11" i="68" s="1"/>
  <c r="C19" i="68"/>
  <c r="A19" i="68" s="1"/>
  <c r="C27" i="68"/>
  <c r="A27" i="68" s="1"/>
  <c r="C31" i="68"/>
  <c r="A31" i="68" s="1"/>
  <c r="C7" i="68"/>
  <c r="A7" i="68" s="1"/>
  <c r="C15" i="68"/>
  <c r="A15" i="68" s="1"/>
  <c r="C23" i="68"/>
  <c r="A23" i="68" s="1"/>
  <c r="C35" i="68"/>
  <c r="A35" i="68" s="1"/>
  <c r="C8" i="68"/>
  <c r="A8" i="68" s="1"/>
  <c r="C12" i="68"/>
  <c r="A12" i="68" s="1"/>
  <c r="C16" i="68"/>
  <c r="A16" i="68" s="1"/>
  <c r="C20" i="68"/>
  <c r="A20" i="68" s="1"/>
  <c r="C24" i="68"/>
  <c r="A24" i="68" s="1"/>
  <c r="C28" i="68"/>
  <c r="A28" i="68" s="1"/>
  <c r="C32" i="68"/>
  <c r="A32" i="68" s="1"/>
  <c r="C7" i="69"/>
  <c r="A7" i="69" s="1"/>
  <c r="C11" i="69"/>
  <c r="A11" i="69" s="1"/>
  <c r="C15" i="69"/>
  <c r="A15" i="69" s="1"/>
  <c r="C19" i="69"/>
  <c r="A19" i="69" s="1"/>
  <c r="C23" i="69"/>
  <c r="A23" i="69" s="1"/>
  <c r="C27" i="69"/>
  <c r="A27" i="69" s="1"/>
  <c r="C31" i="69"/>
  <c r="A31" i="69" s="1"/>
  <c r="C35" i="69"/>
  <c r="A35" i="69" s="1"/>
  <c r="C5" i="68"/>
  <c r="A5" i="68" s="1"/>
  <c r="C9" i="68"/>
  <c r="A9" i="68" s="1"/>
  <c r="C13" i="68"/>
  <c r="A13" i="68" s="1"/>
  <c r="C17" i="68"/>
  <c r="A17" i="68" s="1"/>
  <c r="C21" i="68"/>
  <c r="A21" i="68" s="1"/>
  <c r="C25" i="68"/>
  <c r="A25" i="68" s="1"/>
  <c r="C29" i="68"/>
  <c r="A29" i="68" s="1"/>
  <c r="C33" i="68"/>
  <c r="A33" i="68" s="1"/>
  <c r="C8" i="69"/>
  <c r="A8" i="69" s="1"/>
  <c r="C12" i="69"/>
  <c r="A12" i="69" s="1"/>
  <c r="C16" i="69"/>
  <c r="A16" i="69" s="1"/>
  <c r="C20" i="69"/>
  <c r="A20" i="69" s="1"/>
  <c r="C24" i="69"/>
  <c r="A24" i="69" s="1"/>
  <c r="C28" i="69"/>
  <c r="A28" i="69" s="1"/>
  <c r="C32" i="69"/>
  <c r="A32" i="69" s="1"/>
  <c r="C6" i="68"/>
  <c r="A6" i="68" s="1"/>
  <c r="C10" i="68"/>
  <c r="A10" i="68" s="1"/>
  <c r="C14" i="68"/>
  <c r="A14" i="68" s="1"/>
  <c r="C18" i="68"/>
  <c r="A18" i="68" s="1"/>
  <c r="C22" i="68"/>
  <c r="A22" i="68" s="1"/>
  <c r="C26" i="68"/>
  <c r="A26" i="68" s="1"/>
  <c r="C30" i="68"/>
  <c r="A30" i="68" s="1"/>
  <c r="C5" i="69"/>
  <c r="A5" i="69" s="1"/>
  <c r="C9" i="69"/>
  <c r="A9" i="69" s="1"/>
  <c r="C13" i="69"/>
  <c r="A13" i="69" s="1"/>
  <c r="C17" i="69"/>
  <c r="A17" i="69" s="1"/>
  <c r="C21" i="69"/>
  <c r="A21" i="69" s="1"/>
  <c r="C25" i="69"/>
  <c r="A25" i="69" s="1"/>
  <c r="C29" i="69"/>
  <c r="A29" i="69" s="1"/>
  <c r="C6" i="67"/>
  <c r="A6" i="67" s="1"/>
  <c r="C10" i="67"/>
  <c r="A10" i="67" s="1"/>
  <c r="C14" i="67"/>
  <c r="A14" i="67" s="1"/>
  <c r="C18" i="67"/>
  <c r="A18" i="67" s="1"/>
  <c r="C32" i="67"/>
  <c r="A32" i="67" s="1"/>
  <c r="C8" i="67"/>
  <c r="A8" i="67" s="1"/>
  <c r="C12" i="67"/>
  <c r="A12" i="67" s="1"/>
  <c r="C16" i="67"/>
  <c r="A16" i="67" s="1"/>
  <c r="C20" i="67"/>
  <c r="A20" i="67" s="1"/>
  <c r="C22" i="67"/>
  <c r="A22" i="67" s="1"/>
  <c r="C24" i="67"/>
  <c r="A24" i="67" s="1"/>
  <c r="C26" i="67"/>
  <c r="A26" i="67" s="1"/>
  <c r="C28" i="67"/>
  <c r="A28" i="67" s="1"/>
  <c r="C30" i="67"/>
  <c r="A30" i="67" s="1"/>
  <c r="C34" i="67"/>
  <c r="A34" i="67" s="1"/>
  <c r="C5" i="67"/>
  <c r="A5" i="67" s="1"/>
  <c r="C7" i="67"/>
  <c r="A7" i="67" s="1"/>
  <c r="C9" i="67"/>
  <c r="A9" i="67" s="1"/>
  <c r="C11" i="67"/>
  <c r="A11" i="67" s="1"/>
  <c r="C13" i="67"/>
  <c r="A13" i="67" s="1"/>
  <c r="C15" i="67"/>
  <c r="A15" i="67" s="1"/>
  <c r="C17" i="67"/>
  <c r="A17" i="67" s="1"/>
  <c r="C19" i="67"/>
  <c r="A19" i="67" s="1"/>
  <c r="C21" i="67"/>
  <c r="A21" i="67" s="1"/>
  <c r="C23" i="67"/>
  <c r="A23" i="67" s="1"/>
  <c r="C25" i="67"/>
  <c r="A25" i="67" s="1"/>
  <c r="C27" i="67"/>
  <c r="A27" i="67" s="1"/>
  <c r="C29" i="67"/>
  <c r="A29" i="67" s="1"/>
  <c r="C31" i="67"/>
  <c r="A31" i="67" s="1"/>
  <c r="C33" i="67"/>
  <c r="A33" i="67" s="1"/>
  <c r="C6" i="66"/>
  <c r="A6" i="66" s="1"/>
  <c r="C9" i="66"/>
  <c r="A9" i="66" s="1"/>
  <c r="C14" i="66"/>
  <c r="A14" i="66" s="1"/>
  <c r="C17" i="66"/>
  <c r="A17" i="66" s="1"/>
  <c r="C22" i="66"/>
  <c r="A22" i="66" s="1"/>
  <c r="C25" i="66"/>
  <c r="A25" i="66" s="1"/>
  <c r="C30" i="66"/>
  <c r="A30" i="66" s="1"/>
  <c r="C33" i="66"/>
  <c r="A33" i="66" s="1"/>
  <c r="C7" i="66"/>
  <c r="A7" i="66" s="1"/>
  <c r="C12" i="66"/>
  <c r="A12" i="66" s="1"/>
  <c r="C15" i="66"/>
  <c r="A15" i="66" s="1"/>
  <c r="C20" i="66"/>
  <c r="A20" i="66" s="1"/>
  <c r="C23" i="66"/>
  <c r="A23" i="66" s="1"/>
  <c r="C28" i="66"/>
  <c r="A28" i="66" s="1"/>
  <c r="C31" i="66"/>
  <c r="A31" i="66" s="1"/>
  <c r="C5" i="66"/>
  <c r="A5" i="66" s="1"/>
  <c r="C10" i="66"/>
  <c r="A10" i="66" s="1"/>
  <c r="C13" i="66"/>
  <c r="A13" i="66" s="1"/>
  <c r="C18" i="66"/>
  <c r="A18" i="66" s="1"/>
  <c r="C21" i="66"/>
  <c r="A21" i="66" s="1"/>
  <c r="C26" i="66"/>
  <c r="A26" i="66" s="1"/>
  <c r="C29" i="66"/>
  <c r="A29" i="66" s="1"/>
  <c r="C34" i="66"/>
  <c r="A34" i="66" s="1"/>
  <c r="C8" i="66"/>
  <c r="A8" i="66" s="1"/>
  <c r="C11" i="66"/>
  <c r="A11" i="66" s="1"/>
  <c r="C16" i="66"/>
  <c r="A16" i="66" s="1"/>
  <c r="C19" i="66"/>
  <c r="A19" i="66" s="1"/>
  <c r="C24" i="66"/>
  <c r="A24" i="66" s="1"/>
  <c r="C27" i="66"/>
  <c r="A27" i="66" s="1"/>
  <c r="C32" i="66"/>
  <c r="A32" i="66" s="1"/>
  <c r="C5" i="71"/>
  <c r="A5" i="71" s="1"/>
  <c r="C7" i="71"/>
  <c r="A7" i="71" s="1"/>
  <c r="C9" i="71"/>
  <c r="A9" i="71" s="1"/>
  <c r="C11" i="71"/>
  <c r="A11" i="71" s="1"/>
  <c r="C13" i="71"/>
  <c r="A13" i="71" s="1"/>
  <c r="C15" i="71"/>
  <c r="A15" i="71" s="1"/>
  <c r="C17" i="71"/>
  <c r="A17" i="71" s="1"/>
  <c r="C19" i="71"/>
  <c r="A19" i="71" s="1"/>
  <c r="C21" i="71"/>
  <c r="A21" i="71" s="1"/>
  <c r="C23" i="71"/>
  <c r="A23" i="71" s="1"/>
  <c r="C25" i="71"/>
  <c r="A25" i="71" s="1"/>
  <c r="C27" i="71"/>
  <c r="A27" i="71" s="1"/>
  <c r="C29" i="71"/>
  <c r="A29" i="71" s="1"/>
  <c r="C31" i="71"/>
  <c r="A31" i="71" s="1"/>
  <c r="C33" i="71"/>
  <c r="A33" i="71" s="1"/>
  <c r="C35" i="71"/>
  <c r="A35" i="71" s="1"/>
  <c r="C6" i="71"/>
  <c r="A6" i="71" s="1"/>
  <c r="C8" i="71"/>
  <c r="A8" i="71" s="1"/>
  <c r="C10" i="71"/>
  <c r="A10" i="71" s="1"/>
  <c r="C12" i="71"/>
  <c r="A12" i="71" s="1"/>
  <c r="C14" i="71"/>
  <c r="A14" i="71" s="1"/>
  <c r="C16" i="71"/>
  <c r="A16" i="71" s="1"/>
  <c r="C18" i="71"/>
  <c r="A18" i="71" s="1"/>
  <c r="C20" i="71"/>
  <c r="A20" i="71" s="1"/>
  <c r="C22" i="71"/>
  <c r="A22" i="71" s="1"/>
  <c r="C24" i="71"/>
  <c r="A24" i="71" s="1"/>
  <c r="C26" i="71"/>
  <c r="A26" i="71" s="1"/>
  <c r="C28" i="71"/>
  <c r="A28" i="71" s="1"/>
  <c r="C30" i="71"/>
  <c r="A30" i="71" s="1"/>
  <c r="C32" i="71"/>
  <c r="A32" i="71" s="1"/>
  <c r="C6" i="70"/>
  <c r="A6" i="70" s="1"/>
  <c r="C10" i="70"/>
  <c r="A10" i="70" s="1"/>
  <c r="C14" i="70"/>
  <c r="A14" i="70" s="1"/>
  <c r="C18" i="70"/>
  <c r="A18" i="70" s="1"/>
  <c r="C22" i="70"/>
  <c r="A22" i="70" s="1"/>
  <c r="C26" i="70"/>
  <c r="A26" i="70" s="1"/>
  <c r="C30" i="70"/>
  <c r="A30" i="70" s="1"/>
  <c r="C34" i="70"/>
  <c r="A34" i="70" s="1"/>
  <c r="C7" i="70"/>
  <c r="A7" i="70" s="1"/>
  <c r="C11" i="70"/>
  <c r="A11" i="70" s="1"/>
  <c r="C15" i="70"/>
  <c r="A15" i="70" s="1"/>
  <c r="C19" i="70"/>
  <c r="A19" i="70" s="1"/>
  <c r="C23" i="70"/>
  <c r="A23" i="70" s="1"/>
  <c r="C27" i="70"/>
  <c r="A27" i="70" s="1"/>
  <c r="C31" i="70"/>
  <c r="A31" i="70" s="1"/>
  <c r="C35" i="70"/>
  <c r="A35" i="70" s="1"/>
  <c r="C8" i="70"/>
  <c r="A8" i="70" s="1"/>
  <c r="C12" i="70"/>
  <c r="A12" i="70" s="1"/>
  <c r="C16" i="70"/>
  <c r="A16" i="70" s="1"/>
  <c r="C20" i="70"/>
  <c r="A20" i="70" s="1"/>
  <c r="C24" i="70"/>
  <c r="A24" i="70" s="1"/>
  <c r="C28" i="70"/>
  <c r="A28" i="70" s="1"/>
  <c r="C32" i="70"/>
  <c r="A32" i="70" s="1"/>
  <c r="C5" i="70"/>
  <c r="A5" i="70" s="1"/>
  <c r="C9" i="70"/>
  <c r="A9" i="70" s="1"/>
  <c r="C13" i="70"/>
  <c r="A13" i="70" s="1"/>
  <c r="C17" i="70"/>
  <c r="A17" i="70" s="1"/>
  <c r="C21" i="70"/>
  <c r="A21" i="70" s="1"/>
  <c r="C25" i="70"/>
  <c r="A25" i="70" s="1"/>
  <c r="C29" i="70"/>
  <c r="A29" i="70" s="1"/>
  <c r="C27" i="72"/>
  <c r="A27" i="72" s="1"/>
  <c r="C8" i="72"/>
  <c r="A8" i="72" s="1"/>
  <c r="C12" i="72"/>
  <c r="A12" i="72" s="1"/>
  <c r="C16" i="72"/>
  <c r="A16" i="72" s="1"/>
  <c r="C20" i="72"/>
  <c r="A20" i="72" s="1"/>
  <c r="C24" i="72"/>
  <c r="A24" i="72" s="1"/>
  <c r="C28" i="72"/>
  <c r="A28" i="72" s="1"/>
  <c r="C32" i="72"/>
  <c r="A32" i="72" s="1"/>
  <c r="C19" i="72"/>
  <c r="A19" i="72" s="1"/>
  <c r="C5" i="72"/>
  <c r="A5" i="72" s="1"/>
  <c r="C9" i="72"/>
  <c r="A9" i="72" s="1"/>
  <c r="C13" i="72"/>
  <c r="A13" i="72" s="1"/>
  <c r="C17" i="72"/>
  <c r="A17" i="72" s="1"/>
  <c r="C21" i="72"/>
  <c r="A21" i="72" s="1"/>
  <c r="C25" i="72"/>
  <c r="A25" i="72" s="1"/>
  <c r="C29" i="72"/>
  <c r="A29" i="72" s="1"/>
  <c r="C33" i="72"/>
  <c r="A33" i="72" s="1"/>
  <c r="C6" i="72"/>
  <c r="A6" i="72" s="1"/>
  <c r="C10" i="72"/>
  <c r="A10" i="72" s="1"/>
  <c r="C14" i="72"/>
  <c r="A14" i="72" s="1"/>
  <c r="C18" i="72"/>
  <c r="A18" i="72" s="1"/>
  <c r="C22" i="72"/>
  <c r="A22" i="72" s="1"/>
  <c r="C26" i="72"/>
  <c r="A26" i="72" s="1"/>
  <c r="C30" i="72"/>
  <c r="A30" i="72" s="1"/>
  <c r="C34" i="72"/>
  <c r="A34" i="72" s="1"/>
  <c r="C7" i="72"/>
  <c r="A7" i="72" s="1"/>
  <c r="C11" i="72"/>
  <c r="A11" i="72" s="1"/>
  <c r="C15" i="72"/>
  <c r="A15" i="72" s="1"/>
  <c r="C23" i="72"/>
  <c r="A23" i="72" s="1"/>
  <c r="C31" i="72"/>
  <c r="A31" i="72" s="1"/>
  <c r="C6" i="65"/>
  <c r="A6" i="65" s="1"/>
  <c r="C8" i="65"/>
  <c r="A8" i="65" s="1"/>
  <c r="C10" i="65"/>
  <c r="A10" i="65" s="1"/>
  <c r="C12" i="65"/>
  <c r="A12" i="65" s="1"/>
  <c r="C14" i="65"/>
  <c r="A14" i="65" s="1"/>
  <c r="C16" i="65"/>
  <c r="A16" i="65" s="1"/>
  <c r="C18" i="65"/>
  <c r="A18" i="65" s="1"/>
  <c r="C20" i="65"/>
  <c r="A20" i="65" s="1"/>
  <c r="C22" i="65"/>
  <c r="A22" i="65" s="1"/>
  <c r="C24" i="65"/>
  <c r="A24" i="65" s="1"/>
  <c r="C26" i="65"/>
  <c r="A26" i="65" s="1"/>
  <c r="C28" i="65"/>
  <c r="A28" i="65" s="1"/>
  <c r="C30" i="65"/>
  <c r="A30" i="65" s="1"/>
  <c r="C32" i="65"/>
  <c r="A32" i="65" s="1"/>
  <c r="C34" i="65"/>
  <c r="A34" i="65" s="1"/>
  <c r="C5" i="65"/>
  <c r="A5" i="65" s="1"/>
  <c r="C7" i="65"/>
  <c r="A7" i="65" s="1"/>
  <c r="C9" i="65"/>
  <c r="A9" i="65" s="1"/>
  <c r="C11" i="65"/>
  <c r="A11" i="65" s="1"/>
  <c r="C13" i="65"/>
  <c r="A13" i="65" s="1"/>
  <c r="C15" i="65"/>
  <c r="A15" i="65" s="1"/>
  <c r="C17" i="65"/>
  <c r="A17" i="65" s="1"/>
  <c r="C19" i="65"/>
  <c r="A19" i="65" s="1"/>
  <c r="C21" i="65"/>
  <c r="A21" i="65" s="1"/>
  <c r="C23" i="65"/>
  <c r="A23" i="65" s="1"/>
  <c r="C25" i="65"/>
  <c r="A25" i="65" s="1"/>
  <c r="C27" i="65"/>
  <c r="A27" i="65" s="1"/>
  <c r="C29" i="65"/>
  <c r="A29" i="65" s="1"/>
  <c r="C31" i="65"/>
  <c r="A31" i="65" s="1"/>
  <c r="C33" i="65"/>
  <c r="A33" i="65" s="1"/>
  <c r="C6" i="64"/>
  <c r="A6" i="64" s="1"/>
  <c r="C8" i="64"/>
  <c r="A8" i="64" s="1"/>
  <c r="C10" i="64"/>
  <c r="A10" i="64" s="1"/>
  <c r="C12" i="64"/>
  <c r="A12" i="64" s="1"/>
  <c r="C14" i="64"/>
  <c r="A14" i="64" s="1"/>
  <c r="C16" i="64"/>
  <c r="A16" i="64" s="1"/>
  <c r="C18" i="64"/>
  <c r="A18" i="64" s="1"/>
  <c r="C20" i="64"/>
  <c r="A20" i="64" s="1"/>
  <c r="C22" i="64"/>
  <c r="A22" i="64" s="1"/>
  <c r="C24" i="64"/>
  <c r="A24" i="64" s="1"/>
  <c r="C26" i="64"/>
  <c r="A26" i="64" s="1"/>
  <c r="C28" i="64"/>
  <c r="A28" i="64" s="1"/>
  <c r="C30" i="64"/>
  <c r="A30" i="64" s="1"/>
  <c r="C32" i="64"/>
  <c r="A32" i="64" s="1"/>
  <c r="C34" i="64"/>
  <c r="A34" i="64" s="1"/>
  <c r="C5" i="64"/>
  <c r="A5" i="64" s="1"/>
  <c r="C7" i="64"/>
  <c r="A7" i="64" s="1"/>
  <c r="C9" i="64"/>
  <c r="A9" i="64" s="1"/>
  <c r="C11" i="64"/>
  <c r="A11" i="64" s="1"/>
  <c r="C13" i="64"/>
  <c r="A13" i="64" s="1"/>
  <c r="C15" i="64"/>
  <c r="A15" i="64" s="1"/>
  <c r="C17" i="64"/>
  <c r="A17" i="64" s="1"/>
  <c r="C19" i="64"/>
  <c r="A19" i="64" s="1"/>
  <c r="C21" i="64"/>
  <c r="A21" i="64" s="1"/>
  <c r="C23" i="64"/>
  <c r="A23" i="64" s="1"/>
  <c r="C25" i="64"/>
  <c r="A25" i="64" s="1"/>
  <c r="C27" i="64"/>
  <c r="A27" i="64" s="1"/>
  <c r="C29" i="64"/>
  <c r="A29" i="64" s="1"/>
  <c r="C31" i="64"/>
  <c r="A31" i="64" s="1"/>
  <c r="C33" i="64"/>
  <c r="A33" i="64" s="1"/>
  <c r="C6" i="63"/>
  <c r="A6" i="63" s="1"/>
  <c r="C8" i="63"/>
  <c r="A8" i="63" s="1"/>
  <c r="C10" i="63"/>
  <c r="A10" i="63" s="1"/>
  <c r="C12" i="63"/>
  <c r="A12" i="63" s="1"/>
  <c r="C14" i="63"/>
  <c r="A14" i="63" s="1"/>
  <c r="C16" i="63"/>
  <c r="A16" i="63" s="1"/>
  <c r="C18" i="63"/>
  <c r="A18" i="63" s="1"/>
  <c r="C20" i="63"/>
  <c r="A20" i="63" s="1"/>
  <c r="C22" i="63"/>
  <c r="A22" i="63" s="1"/>
  <c r="C24" i="63"/>
  <c r="A24" i="63" s="1"/>
  <c r="C26" i="63"/>
  <c r="A26" i="63" s="1"/>
  <c r="C28" i="63"/>
  <c r="A28" i="63" s="1"/>
  <c r="C30" i="63"/>
  <c r="A30" i="63" s="1"/>
  <c r="C32" i="63"/>
  <c r="A32" i="63" s="1"/>
  <c r="C34" i="63"/>
  <c r="A34" i="63" s="1"/>
  <c r="C5" i="63"/>
  <c r="A5" i="63" s="1"/>
  <c r="C7" i="63"/>
  <c r="A7" i="63" s="1"/>
  <c r="C9" i="63"/>
  <c r="A9" i="63" s="1"/>
  <c r="C11" i="63"/>
  <c r="A11" i="63" s="1"/>
  <c r="C13" i="63"/>
  <c r="A13" i="63" s="1"/>
  <c r="C15" i="63"/>
  <c r="A15" i="63" s="1"/>
  <c r="C17" i="63"/>
  <c r="A17" i="63" s="1"/>
  <c r="C19" i="63"/>
  <c r="A19" i="63" s="1"/>
  <c r="C21" i="63"/>
  <c r="A21" i="63" s="1"/>
  <c r="C23" i="63"/>
  <c r="A23" i="63" s="1"/>
  <c r="C25" i="63"/>
  <c r="A25" i="63" s="1"/>
  <c r="C27" i="63"/>
  <c r="A27" i="63" s="1"/>
  <c r="C29" i="63"/>
  <c r="A29" i="63" s="1"/>
  <c r="C31" i="63"/>
  <c r="A31" i="63" s="1"/>
  <c r="C33" i="63"/>
  <c r="A33" i="63" s="1"/>
  <c r="C6" i="62"/>
  <c r="A6" i="62" s="1"/>
  <c r="C8" i="62"/>
  <c r="A8" i="62" s="1"/>
  <c r="C10" i="62"/>
  <c r="A10" i="62" s="1"/>
  <c r="C12" i="62"/>
  <c r="A12" i="62" s="1"/>
  <c r="C14" i="62"/>
  <c r="A14" i="62" s="1"/>
  <c r="C16" i="62"/>
  <c r="A16" i="62" s="1"/>
  <c r="C18" i="62"/>
  <c r="A18" i="62" s="1"/>
  <c r="C20" i="62"/>
  <c r="A20" i="62" s="1"/>
  <c r="C22" i="62"/>
  <c r="A22" i="62" s="1"/>
  <c r="C24" i="62"/>
  <c r="A24" i="62" s="1"/>
  <c r="C26" i="62"/>
  <c r="A26" i="62" s="1"/>
  <c r="C28" i="62"/>
  <c r="A28" i="62" s="1"/>
  <c r="C30" i="62"/>
  <c r="A30" i="62" s="1"/>
  <c r="C32" i="62"/>
  <c r="A32" i="62" s="1"/>
  <c r="A34" i="62"/>
  <c r="C5" i="62"/>
  <c r="A5" i="62" s="1"/>
  <c r="C7" i="62"/>
  <c r="A7" i="62" s="1"/>
  <c r="C9" i="62"/>
  <c r="A9" i="62" s="1"/>
  <c r="C11" i="62"/>
  <c r="A11" i="62" s="1"/>
  <c r="C13" i="62"/>
  <c r="A13" i="62" s="1"/>
  <c r="C15" i="62"/>
  <c r="A15" i="62" s="1"/>
  <c r="C17" i="62"/>
  <c r="A17" i="62" s="1"/>
  <c r="C19" i="62"/>
  <c r="A19" i="62" s="1"/>
  <c r="C21" i="62"/>
  <c r="A21" i="62" s="1"/>
  <c r="C23" i="62"/>
  <c r="A23" i="62" s="1"/>
  <c r="C25" i="62"/>
  <c r="A25" i="62" s="1"/>
  <c r="C27" i="62"/>
  <c r="A27" i="62" s="1"/>
  <c r="C29" i="62"/>
  <c r="A29" i="62" s="1"/>
  <c r="C31" i="62"/>
  <c r="A31" i="62" s="1"/>
  <c r="C33" i="62"/>
  <c r="A33" i="62" s="1"/>
  <c r="C4" i="61"/>
  <c r="B3" i="61"/>
  <c r="C35" i="61" s="1"/>
  <c r="A35" i="61" s="1"/>
  <c r="C6" i="61" l="1"/>
  <c r="A6" i="61" s="1"/>
  <c r="C9" i="61"/>
  <c r="A9" i="61" s="1"/>
  <c r="C14" i="61"/>
  <c r="A14" i="61" s="1"/>
  <c r="C17" i="61"/>
  <c r="A17" i="61" s="1"/>
  <c r="C22" i="61"/>
  <c r="A22" i="61" s="1"/>
  <c r="C25" i="61"/>
  <c r="A25" i="61" s="1"/>
  <c r="C30" i="61"/>
  <c r="A30" i="61" s="1"/>
  <c r="C33" i="61"/>
  <c r="A33" i="61" s="1"/>
  <c r="C7" i="61"/>
  <c r="A7" i="61" s="1"/>
  <c r="C12" i="61"/>
  <c r="A12" i="61" s="1"/>
  <c r="C15" i="61"/>
  <c r="A15" i="61" s="1"/>
  <c r="C20" i="61"/>
  <c r="A20" i="61" s="1"/>
  <c r="C23" i="61"/>
  <c r="A23" i="61" s="1"/>
  <c r="C28" i="61"/>
  <c r="A28" i="61" s="1"/>
  <c r="C31" i="61"/>
  <c r="A31" i="61" s="1"/>
  <c r="C5" i="61"/>
  <c r="A5" i="61" s="1"/>
  <c r="C10" i="61"/>
  <c r="A10" i="61" s="1"/>
  <c r="C13" i="61"/>
  <c r="A13" i="61" s="1"/>
  <c r="C18" i="61"/>
  <c r="A18" i="61" s="1"/>
  <c r="C21" i="61"/>
  <c r="A21" i="61" s="1"/>
  <c r="C26" i="61"/>
  <c r="A26" i="61" s="1"/>
  <c r="C29" i="61"/>
  <c r="A29" i="61" s="1"/>
  <c r="C34" i="61"/>
  <c r="A34" i="61" s="1"/>
  <c r="C8" i="61"/>
  <c r="A8" i="61" s="1"/>
  <c r="C11" i="61"/>
  <c r="A11" i="61" s="1"/>
  <c r="C16" i="61"/>
  <c r="A16" i="61" s="1"/>
  <c r="C19" i="61"/>
  <c r="A19" i="61" s="1"/>
  <c r="C24" i="61"/>
  <c r="A24" i="61" s="1"/>
  <c r="C27" i="61"/>
  <c r="A27" i="61" s="1"/>
  <c r="C32" i="61"/>
  <c r="A32" i="61" s="1"/>
  <c r="C4" i="12" l="1"/>
  <c r="B3" i="12" l="1"/>
  <c r="C35" i="12" s="1"/>
  <c r="A35" i="12" s="1"/>
  <c r="C6" i="12" l="1"/>
  <c r="A6" i="12" s="1"/>
  <c r="C8" i="12"/>
  <c r="A8" i="12" s="1"/>
  <c r="C10" i="12"/>
  <c r="A10" i="12" s="1"/>
  <c r="C12" i="12"/>
  <c r="A12" i="12" s="1"/>
  <c r="C14" i="12"/>
  <c r="A14" i="12" s="1"/>
  <c r="C16" i="12"/>
  <c r="A16" i="12" s="1"/>
  <c r="C18" i="12"/>
  <c r="A18" i="12" s="1"/>
  <c r="C20" i="12"/>
  <c r="A20" i="12" s="1"/>
  <c r="C22" i="12"/>
  <c r="A22" i="12" s="1"/>
  <c r="C24" i="12"/>
  <c r="A24" i="12" s="1"/>
  <c r="C26" i="12"/>
  <c r="A26" i="12" s="1"/>
  <c r="C28" i="12"/>
  <c r="A28" i="12" s="1"/>
  <c r="C30" i="12"/>
  <c r="A30" i="12" s="1"/>
  <c r="C32" i="12"/>
  <c r="A32" i="12" s="1"/>
  <c r="C34" i="12"/>
  <c r="A34" i="12" s="1"/>
  <c r="C5" i="12"/>
  <c r="A5" i="12" s="1"/>
  <c r="C7" i="12"/>
  <c r="A7" i="12" s="1"/>
  <c r="C9" i="12"/>
  <c r="A9" i="12" s="1"/>
  <c r="C11" i="12"/>
  <c r="A11" i="12" s="1"/>
  <c r="C13" i="12"/>
  <c r="A13" i="12" s="1"/>
  <c r="C15" i="12"/>
  <c r="A15" i="12" s="1"/>
  <c r="C17" i="12"/>
  <c r="A17" i="12" s="1"/>
  <c r="C19" i="12"/>
  <c r="A19" i="12" s="1"/>
  <c r="C21" i="12"/>
  <c r="A21" i="12" s="1"/>
  <c r="C23" i="12"/>
  <c r="A23" i="12" s="1"/>
  <c r="C25" i="12"/>
  <c r="A25" i="12" s="1"/>
  <c r="C27" i="12"/>
  <c r="A27" i="12" s="1"/>
  <c r="C29" i="12"/>
  <c r="A29" i="12" s="1"/>
  <c r="C31" i="12"/>
  <c r="A31" i="12" s="1"/>
  <c r="C33" i="12"/>
  <c r="A33" i="12" s="1"/>
</calcChain>
</file>

<file path=xl/sharedStrings.xml><?xml version="1.0" encoding="utf-8"?>
<sst xmlns="http://schemas.openxmlformats.org/spreadsheetml/2006/main" count="601" uniqueCount="101">
  <si>
    <t>W</t>
  </si>
  <si>
    <t>M</t>
  </si>
  <si>
    <t>D</t>
  </si>
  <si>
    <t>Frequentie</t>
  </si>
  <si>
    <t>Check OK</t>
  </si>
  <si>
    <t>Omgeving</t>
  </si>
  <si>
    <t>Error (meteen opgelost)</t>
  </si>
  <si>
    <t>Legenda</t>
  </si>
  <si>
    <t>Geen check nodig</t>
  </si>
  <si>
    <t>April</t>
  </si>
  <si>
    <t>September</t>
  </si>
  <si>
    <t>November</t>
  </si>
  <si>
    <t>December</t>
  </si>
  <si>
    <t>Weekdag</t>
  </si>
  <si>
    <t>Dag</t>
  </si>
  <si>
    <t>Error (specialist incident aangemaakt)</t>
  </si>
  <si>
    <t>Weekend</t>
  </si>
  <si>
    <t>IF($A4=1;1;IF($A4=7;1;0))</t>
  </si>
  <si>
    <t>IF(D$2="M";IF($A4=2;IF($B4&gt;3;1;0);1);0)</t>
  </si>
  <si>
    <t>IF(D$2="W";IF($A4=2;IF($B4&gt;3;1;0);1);0)</t>
  </si>
  <si>
    <t>IF($A4=1;1;IF($A4=7;1;IF(D$2="M";IF($A4=2;IF($B4&gt;3;1;0);1);IF(D$2="W";IF($A4=2;0;1);0))))</t>
  </si>
  <si>
    <t>Status</t>
  </si>
  <si>
    <t>Scheduled Tasks</t>
  </si>
  <si>
    <t>W01</t>
  </si>
  <si>
    <t>W02</t>
  </si>
  <si>
    <t>W03</t>
  </si>
  <si>
    <t>W04</t>
  </si>
  <si>
    <t>M01</t>
  </si>
  <si>
    <t>M02</t>
  </si>
  <si>
    <t>M03</t>
  </si>
  <si>
    <t>Search Gatherer Logs</t>
  </si>
  <si>
    <t>Content Database Status</t>
  </si>
  <si>
    <t>Upgrade Status Servers</t>
  </si>
  <si>
    <t>Upgrade Status Databases</t>
  </si>
  <si>
    <t>Backup Status</t>
  </si>
  <si>
    <t>Deployment Status Solutions</t>
  </si>
  <si>
    <t>Failed Timer Jobs</t>
  </si>
  <si>
    <t>Health Analyzer Issues</t>
  </si>
  <si>
    <t>Running websites en application pools</t>
  </si>
  <si>
    <t>Q</t>
  </si>
  <si>
    <t>Q01</t>
  </si>
  <si>
    <t>Q02</t>
  </si>
  <si>
    <t>M04</t>
  </si>
  <si>
    <t>Search Topology</t>
  </si>
  <si>
    <t>PRD</t>
  </si>
  <si>
    <t>DR</t>
  </si>
  <si>
    <t>ACC</t>
  </si>
  <si>
    <t>TEST</t>
  </si>
  <si>
    <t>Using the sheet</t>
  </si>
  <si>
    <t>Valid inputs are 1, 2 or 3.</t>
  </si>
  <si>
    <t>Always use the sheet with the name of the month, never use the template sheet!</t>
  </si>
  <si>
    <t>Add new month sheet</t>
  </si>
  <si>
    <t>1: Copy the template sheet (right click &gt; Move or Copy)</t>
  </si>
  <si>
    <t>2: Select the correct month in the sheet</t>
  </si>
  <si>
    <t>3: Rename the copy ("Template (2)") to the name of the month</t>
  </si>
  <si>
    <t>Year</t>
  </si>
  <si>
    <t>Dates fields</t>
  </si>
  <si>
    <t>January</t>
  </si>
  <si>
    <t>February</t>
  </si>
  <si>
    <t>March</t>
  </si>
  <si>
    <t>May</t>
  </si>
  <si>
    <t>June</t>
  </si>
  <si>
    <t>July</t>
  </si>
  <si>
    <t>August</t>
  </si>
  <si>
    <t>October</t>
  </si>
  <si>
    <t>Error (Solved immediately)</t>
  </si>
  <si>
    <t>Error (Created incident)</t>
  </si>
  <si>
    <t>Total</t>
  </si>
  <si>
    <t>Weekly</t>
  </si>
  <si>
    <t>Monthly</t>
  </si>
  <si>
    <t>Formula for conditional formatting breakdown</t>
  </si>
  <si>
    <t>Name</t>
  </si>
  <si>
    <t>Purpose</t>
  </si>
  <si>
    <t>Formula</t>
  </si>
  <si>
    <t>Makes sure the correct cells are greyed out in the 'Template'</t>
  </si>
  <si>
    <t>Makes sure cells in the weekend are greyed out</t>
  </si>
  <si>
    <t>Makes sure weekly tasks are planned on Mondays</t>
  </si>
  <si>
    <t>Makes sure weekly tasks are planned on the first Monday of the month</t>
  </si>
  <si>
    <t>Administrators</t>
  </si>
  <si>
    <t>Error (Resolved immediately)</t>
  </si>
  <si>
    <t>No check required</t>
  </si>
  <si>
    <t>Performed by:</t>
  </si>
  <si>
    <t>Quick environment check</t>
  </si>
  <si>
    <t>Content Database Size</t>
  </si>
  <si>
    <t>Last Boot Time</t>
  </si>
  <si>
    <t>Running Services Check</t>
  </si>
  <si>
    <t>Group Membership Check</t>
  </si>
  <si>
    <t>Service Application Status</t>
  </si>
  <si>
    <t>Permissions Check</t>
  </si>
  <si>
    <t>Baseline Settings</t>
  </si>
  <si>
    <t>Access Check</t>
  </si>
  <si>
    <t>Missing Security Updates/Service Packs</t>
  </si>
  <si>
    <t>Policy Compliance</t>
  </si>
  <si>
    <t>Documentation Check</t>
  </si>
  <si>
    <t>SSL Certificates Check</t>
  </si>
  <si>
    <t>Lifecycle Check</t>
  </si>
  <si>
    <t>Disaster Recovery Test</t>
  </si>
  <si>
    <t>New Updates</t>
  </si>
  <si>
    <t>Distributed Cache Status</t>
  </si>
  <si>
    <t>Content Database File Size</t>
  </si>
  <si>
    <t>Site Collection Quota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</si>
</sst>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\ dd\ mmmm"/>
    <numFmt numFmtId="165" formatCode="mmmm"/>
    <numFmt numFmtId="166" formatCode="[$-409]dddd\ d\ mmmm\ yyyy"/>
  </numFmts>
  <fonts count="30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28"/>
      <name val="Calibri"/>
      <family val="2"/>
      <scheme val="minor"/>
    </font>
    <font>
      <sz val="9"/>
      <color indexed="8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sz val="11"/>
      <color indexed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</fills>
  <borders count="5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1" borderId="2" applyNumberFormat="0" applyAlignment="0" applyProtection="0"/>
    <xf numFmtId="0" fontId="6" fillId="0" borderId="0" applyNumberFormat="0" applyFill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0"/>
    <xf numFmtId="0" fontId="2" fillId="0" borderId="0"/>
    <xf numFmtId="0" fontId="2" fillId="0" borderId="0"/>
    <xf numFmtId="0" fontId="2" fillId="22" borderId="6" applyNumberFormat="0" applyFont="0" applyAlignment="0" applyProtection="0"/>
    <xf numFmtId="0" fontId="12" fillId="20" borderId="7" applyNumberFormat="0" applyAlignment="0" applyProtection="0"/>
  </cellStyleXfs>
  <cellXfs count="133">
    <xf numFmtId="0" fontId="0" fillId="0" borderId="0" xfId="0"/>
    <xf numFmtId="0" fontId="0" fillId="0" borderId="0" xfId="0" applyFill="1"/>
    <xf numFmtId="0" fontId="11" fillId="0" borderId="0" xfId="33" applyFill="1" applyBorder="1" applyAlignment="1">
      <alignment vertical="top"/>
    </xf>
    <xf numFmtId="0" fontId="11" fillId="0" borderId="0" xfId="33" applyFill="1" applyBorder="1" applyAlignment="1">
      <alignment horizontal="left"/>
    </xf>
    <xf numFmtId="0" fontId="0" fillId="0" borderId="0" xfId="0" applyBorder="1"/>
    <xf numFmtId="0" fontId="0" fillId="0" borderId="0" xfId="0" applyAlignment="1"/>
    <xf numFmtId="0" fontId="11" fillId="0" borderId="0" xfId="0" applyFont="1"/>
    <xf numFmtId="0" fontId="14" fillId="0" borderId="29" xfId="0" applyFont="1" applyBorder="1"/>
    <xf numFmtId="0" fontId="15" fillId="0" borderId="30" xfId="34" applyFont="1" applyBorder="1"/>
    <xf numFmtId="0" fontId="15" fillId="0" borderId="31" xfId="34" applyFont="1" applyBorder="1"/>
    <xf numFmtId="0" fontId="15" fillId="0" borderId="32" xfId="34" applyFont="1" applyBorder="1"/>
    <xf numFmtId="0" fontId="15" fillId="0" borderId="0" xfId="34" applyFont="1" applyBorder="1"/>
    <xf numFmtId="0" fontId="14" fillId="0" borderId="0" xfId="0" applyFont="1" applyBorder="1"/>
    <xf numFmtId="0" fontId="11" fillId="0" borderId="0" xfId="0" applyFont="1" applyBorder="1"/>
    <xf numFmtId="0" fontId="11" fillId="0" borderId="24" xfId="0" applyFont="1" applyBorder="1"/>
    <xf numFmtId="0" fontId="11" fillId="0" borderId="11" xfId="0" applyFont="1" applyBorder="1"/>
    <xf numFmtId="0" fontId="11" fillId="0" borderId="26" xfId="0" applyFont="1" applyBorder="1"/>
    <xf numFmtId="0" fontId="11" fillId="0" borderId="10" xfId="0" applyFont="1" applyBorder="1"/>
    <xf numFmtId="0" fontId="11" fillId="0" borderId="33" xfId="0" applyFont="1" applyBorder="1"/>
    <xf numFmtId="0" fontId="11" fillId="0" borderId="34" xfId="0" applyFont="1" applyBorder="1"/>
    <xf numFmtId="0" fontId="15" fillId="0" borderId="35" xfId="34" applyFont="1" applyBorder="1"/>
    <xf numFmtId="0" fontId="11" fillId="0" borderId="0" xfId="0" applyFont="1" applyAlignment="1">
      <alignment wrapText="1"/>
    </xf>
    <xf numFmtId="0" fontId="14" fillId="27" borderId="20" xfId="0" applyFont="1" applyFill="1" applyBorder="1"/>
    <xf numFmtId="0" fontId="14" fillId="0" borderId="28" xfId="0" applyFont="1" applyBorder="1" applyAlignment="1">
      <alignment vertical="top" wrapText="1"/>
    </xf>
    <xf numFmtId="0" fontId="14" fillId="27" borderId="36" xfId="0" applyFont="1" applyFill="1" applyBorder="1"/>
    <xf numFmtId="0" fontId="15" fillId="0" borderId="14" xfId="34" applyFont="1" applyBorder="1"/>
    <xf numFmtId="0" fontId="15" fillId="0" borderId="40" xfId="34" applyFont="1" applyBorder="1"/>
    <xf numFmtId="0" fontId="15" fillId="0" borderId="42" xfId="34" applyFont="1" applyBorder="1"/>
    <xf numFmtId="0" fontId="14" fillId="27" borderId="45" xfId="0" applyFont="1" applyFill="1" applyBorder="1"/>
    <xf numFmtId="0" fontId="15" fillId="0" borderId="33" xfId="34" applyFont="1" applyBorder="1"/>
    <xf numFmtId="0" fontId="15" fillId="0" borderId="11" xfId="34" applyFont="1" applyBorder="1"/>
    <xf numFmtId="0" fontId="15" fillId="0" borderId="10" xfId="34" applyFont="1" applyBorder="1"/>
    <xf numFmtId="0" fontId="0" fillId="0" borderId="0" xfId="0" applyBorder="1" applyAlignment="1">
      <alignment textRotation="90"/>
    </xf>
    <xf numFmtId="0" fontId="1" fillId="0" borderId="27" xfId="0" applyFont="1" applyBorder="1"/>
    <xf numFmtId="0" fontId="1" fillId="0" borderId="24" xfId="0" applyFont="1" applyBorder="1"/>
    <xf numFmtId="0" fontId="1" fillId="0" borderId="27" xfId="0" applyFont="1" applyBorder="1" applyAlignment="1">
      <alignment vertical="top" wrapText="1"/>
    </xf>
    <xf numFmtId="0" fontId="1" fillId="0" borderId="24" xfId="0" applyFont="1" applyBorder="1" applyAlignment="1">
      <alignment vertical="top" wrapText="1"/>
    </xf>
    <xf numFmtId="0" fontId="1" fillId="0" borderId="26" xfId="0" applyFont="1" applyBorder="1" applyAlignment="1">
      <alignment vertical="top" wrapText="1"/>
    </xf>
    <xf numFmtId="0" fontId="18" fillId="0" borderId="0" xfId="0" applyFont="1" applyAlignment="1"/>
    <xf numFmtId="0" fontId="18" fillId="0" borderId="0" xfId="0" applyFont="1" applyAlignment="1">
      <alignment horizontal="left"/>
    </xf>
    <xf numFmtId="0" fontId="19" fillId="27" borderId="36" xfId="0" applyFont="1" applyFill="1" applyBorder="1" applyAlignment="1">
      <alignment horizontal="left"/>
    </xf>
    <xf numFmtId="0" fontId="19" fillId="27" borderId="37" xfId="0" applyFont="1" applyFill="1" applyBorder="1" applyAlignment="1">
      <alignment horizontal="left"/>
    </xf>
    <xf numFmtId="0" fontId="18" fillId="0" borderId="40" xfId="0" applyFont="1" applyBorder="1" applyAlignment="1">
      <alignment horizontal="left"/>
    </xf>
    <xf numFmtId="0" fontId="18" fillId="0" borderId="41" xfId="0" applyFont="1" applyBorder="1" applyAlignment="1">
      <alignment horizontal="left"/>
    </xf>
    <xf numFmtId="0" fontId="18" fillId="0" borderId="42" xfId="0" applyFont="1" applyBorder="1" applyAlignment="1">
      <alignment horizontal="left"/>
    </xf>
    <xf numFmtId="0" fontId="18" fillId="0" borderId="43" xfId="0" applyFont="1" applyBorder="1" applyAlignment="1">
      <alignment horizontal="left"/>
    </xf>
    <xf numFmtId="0" fontId="18" fillId="0" borderId="27" xfId="0" applyFont="1" applyBorder="1" applyAlignment="1">
      <alignment horizontal="left"/>
    </xf>
    <xf numFmtId="0" fontId="18" fillId="0" borderId="33" xfId="0" applyFont="1" applyBorder="1" applyAlignment="1">
      <alignment horizontal="left"/>
    </xf>
    <xf numFmtId="0" fontId="20" fillId="0" borderId="26" xfId="0" applyFont="1" applyBorder="1" applyAlignment="1">
      <alignment horizontal="left"/>
    </xf>
    <xf numFmtId="0" fontId="20" fillId="0" borderId="10" xfId="0" applyFont="1" applyBorder="1" applyAlignment="1">
      <alignment horizontal="left"/>
    </xf>
    <xf numFmtId="0" fontId="18" fillId="27" borderId="37" xfId="0" applyFont="1" applyFill="1" applyBorder="1" applyAlignment="1">
      <alignment horizontal="left"/>
    </xf>
    <xf numFmtId="0" fontId="18" fillId="0" borderId="14" xfId="0" applyFont="1" applyBorder="1" applyAlignment="1">
      <alignment horizontal="left"/>
    </xf>
    <xf numFmtId="0" fontId="18" fillId="0" borderId="13" xfId="0" applyFont="1" applyBorder="1" applyAlignment="1">
      <alignment horizontal="left"/>
    </xf>
    <xf numFmtId="0" fontId="16" fillId="27" borderId="36" xfId="0" applyFont="1" applyFill="1" applyBorder="1" applyAlignment="1">
      <alignment horizontal="left"/>
    </xf>
    <xf numFmtId="0" fontId="16" fillId="27" borderId="37" xfId="0" applyFont="1" applyFill="1" applyBorder="1" applyAlignment="1">
      <alignment horizontal="left"/>
    </xf>
    <xf numFmtId="0" fontId="1" fillId="0" borderId="8" xfId="0" applyFont="1" applyBorder="1" applyAlignment="1">
      <alignment vertical="top" wrapText="1"/>
    </xf>
    <xf numFmtId="0" fontId="11" fillId="0" borderId="8" xfId="0" applyFont="1" applyBorder="1" applyAlignment="1">
      <alignment vertical="top" wrapText="1"/>
    </xf>
    <xf numFmtId="0" fontId="1" fillId="0" borderId="12" xfId="0" applyFont="1" applyBorder="1" applyAlignment="1">
      <alignment vertical="top" wrapText="1"/>
    </xf>
    <xf numFmtId="0" fontId="11" fillId="0" borderId="12" xfId="0" applyFont="1" applyBorder="1" applyAlignment="1">
      <alignment vertical="top" wrapText="1"/>
    </xf>
    <xf numFmtId="0" fontId="1" fillId="0" borderId="53" xfId="0" applyFont="1" applyBorder="1" applyAlignment="1">
      <alignment vertical="top" wrapText="1" shrinkToFit="1"/>
    </xf>
    <xf numFmtId="0" fontId="11" fillId="0" borderId="54" xfId="0" applyFont="1" applyBorder="1" applyAlignment="1">
      <alignment vertical="top" wrapText="1" shrinkToFit="1"/>
    </xf>
    <xf numFmtId="0" fontId="11" fillId="0" borderId="48" xfId="0" applyFont="1" applyBorder="1" applyAlignment="1">
      <alignment vertical="top" wrapText="1" shrinkToFit="1"/>
    </xf>
    <xf numFmtId="0" fontId="14" fillId="0" borderId="44" xfId="0" applyFont="1" applyBorder="1" applyAlignment="1">
      <alignment vertical="top" wrapText="1"/>
    </xf>
    <xf numFmtId="0" fontId="14" fillId="27" borderId="28" xfId="0" applyFont="1" applyFill="1" applyBorder="1" applyAlignment="1">
      <alignment horizontal="left"/>
    </xf>
    <xf numFmtId="0" fontId="14" fillId="27" borderId="44" xfId="0" applyFont="1" applyFill="1" applyBorder="1" applyAlignment="1">
      <alignment horizontal="left"/>
    </xf>
    <xf numFmtId="0" fontId="14" fillId="27" borderId="45" xfId="0" applyFont="1" applyFill="1" applyBorder="1" applyAlignment="1">
      <alignment horizontal="left"/>
    </xf>
    <xf numFmtId="0" fontId="14" fillId="0" borderId="38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39" xfId="0" applyFont="1" applyBorder="1" applyAlignment="1">
      <alignment horizontal="center"/>
    </xf>
    <xf numFmtId="0" fontId="11" fillId="0" borderId="11" xfId="0" applyFont="1" applyBorder="1" applyAlignment="1">
      <alignment vertical="top" wrapText="1"/>
    </xf>
    <xf numFmtId="0" fontId="11" fillId="0" borderId="9" xfId="0" applyFont="1" applyBorder="1" applyAlignment="1">
      <alignment vertical="top" wrapText="1"/>
    </xf>
    <xf numFmtId="0" fontId="11" fillId="0" borderId="10" xfId="0" applyFont="1" applyBorder="1" applyAlignment="1">
      <alignment vertical="top" wrapText="1"/>
    </xf>
    <xf numFmtId="0" fontId="11" fillId="0" borderId="33" xfId="0" applyFont="1" applyBorder="1" applyAlignment="1">
      <alignment vertical="top" wrapText="1"/>
    </xf>
    <xf numFmtId="0" fontId="14" fillId="0" borderId="45" xfId="0" applyFont="1" applyBorder="1" applyAlignment="1">
      <alignment vertical="top" wrapText="1"/>
    </xf>
    <xf numFmtId="0" fontId="21" fillId="0" borderId="0" xfId="0" applyFont="1"/>
    <xf numFmtId="0" fontId="22" fillId="23" borderId="15" xfId="35" applyFont="1" applyFill="1" applyBorder="1" applyProtection="1"/>
    <xf numFmtId="0" fontId="22" fillId="28" borderId="46" xfId="35" applyFont="1" applyFill="1" applyBorder="1" applyAlignment="1" applyProtection="1">
      <alignment horizontal="center"/>
    </xf>
    <xf numFmtId="0" fontId="22" fillId="28" borderId="47" xfId="35" applyFont="1" applyFill="1" applyBorder="1" applyAlignment="1" applyProtection="1">
      <alignment horizontal="center"/>
    </xf>
    <xf numFmtId="0" fontId="22" fillId="28" borderId="15" xfId="35" applyFont="1" applyFill="1" applyBorder="1" applyAlignment="1" applyProtection="1">
      <alignment horizontal="center"/>
    </xf>
    <xf numFmtId="0" fontId="22" fillId="25" borderId="46" xfId="35" applyFont="1" applyFill="1" applyBorder="1" applyAlignment="1" applyProtection="1">
      <alignment horizontal="center"/>
    </xf>
    <xf numFmtId="0" fontId="22" fillId="25" borderId="47" xfId="35" applyFont="1" applyFill="1" applyBorder="1" applyAlignment="1" applyProtection="1">
      <alignment horizontal="center"/>
    </xf>
    <xf numFmtId="0" fontId="22" fillId="25" borderId="15" xfId="35" applyFont="1" applyFill="1" applyBorder="1" applyAlignment="1" applyProtection="1">
      <alignment horizontal="center"/>
    </xf>
    <xf numFmtId="0" fontId="22" fillId="29" borderId="46" xfId="35" applyFont="1" applyFill="1" applyBorder="1" applyAlignment="1" applyProtection="1">
      <alignment horizontal="center"/>
    </xf>
    <xf numFmtId="0" fontId="22" fillId="29" borderId="47" xfId="35" applyFont="1" applyFill="1" applyBorder="1" applyAlignment="1" applyProtection="1">
      <alignment horizontal="center"/>
    </xf>
    <xf numFmtId="0" fontId="22" fillId="29" borderId="15" xfId="35" applyFont="1" applyFill="1" applyBorder="1" applyAlignment="1" applyProtection="1">
      <alignment horizontal="center"/>
    </xf>
    <xf numFmtId="0" fontId="22" fillId="23" borderId="46" xfId="35" applyFont="1" applyFill="1" applyBorder="1" applyAlignment="1" applyProtection="1">
      <alignment horizontal="center"/>
    </xf>
    <xf numFmtId="0" fontId="22" fillId="23" borderId="47" xfId="35" applyFont="1" applyFill="1" applyBorder="1" applyAlignment="1" applyProtection="1">
      <alignment horizontal="center"/>
    </xf>
    <xf numFmtId="0" fontId="22" fillId="23" borderId="15" xfId="35" applyFont="1" applyFill="1" applyBorder="1" applyAlignment="1" applyProtection="1">
      <alignment horizontal="center"/>
    </xf>
    <xf numFmtId="0" fontId="23" fillId="0" borderId="15" xfId="35" applyFont="1" applyBorder="1" applyProtection="1"/>
    <xf numFmtId="0" fontId="24" fillId="0" borderId="16" xfId="35" applyFont="1" applyBorder="1" applyProtection="1"/>
    <xf numFmtId="0" fontId="24" fillId="0" borderId="17" xfId="35" applyFont="1" applyFill="1" applyBorder="1" applyProtection="1"/>
    <xf numFmtId="0" fontId="24" fillId="0" borderId="17" xfId="35" applyFont="1" applyBorder="1" applyProtection="1"/>
    <xf numFmtId="0" fontId="24" fillId="0" borderId="18" xfId="35" applyFont="1" applyBorder="1" applyProtection="1"/>
    <xf numFmtId="165" fontId="25" fillId="0" borderId="50" xfId="0" applyNumberFormat="1" applyFont="1" applyBorder="1" applyAlignment="1" applyProtection="1">
      <alignment horizontal="center" vertical="center"/>
      <protection locked="0"/>
    </xf>
    <xf numFmtId="0" fontId="26" fillId="0" borderId="0" xfId="35" applyFont="1" applyBorder="1" applyAlignment="1">
      <alignment textRotation="90"/>
    </xf>
    <xf numFmtId="0" fontId="26" fillId="0" borderId="0" xfId="35" applyFont="1" applyFill="1" applyBorder="1" applyAlignment="1">
      <alignment textRotation="90"/>
    </xf>
    <xf numFmtId="0" fontId="26" fillId="0" borderId="50" xfId="35" applyFont="1" applyFill="1" applyBorder="1" applyAlignment="1">
      <alignment horizontal="center"/>
    </xf>
    <xf numFmtId="1" fontId="27" fillId="0" borderId="13" xfId="0" applyNumberFormat="1" applyFont="1" applyBorder="1" applyAlignment="1" applyProtection="1">
      <alignment horizontal="center" vertical="center"/>
    </xf>
    <xf numFmtId="0" fontId="26" fillId="0" borderId="51" xfId="35" applyFont="1" applyFill="1" applyBorder="1" applyAlignment="1">
      <alignment horizontal="center"/>
    </xf>
    <xf numFmtId="164" fontId="21" fillId="0" borderId="19" xfId="0" applyNumberFormat="1" applyFont="1" applyBorder="1"/>
    <xf numFmtId="0" fontId="21" fillId="0" borderId="21" xfId="0" applyFont="1" applyFill="1" applyBorder="1" applyAlignment="1" applyProtection="1">
      <alignment horizontal="center" vertical="center"/>
      <protection locked="0"/>
    </xf>
    <xf numFmtId="0" fontId="21" fillId="0" borderId="22" xfId="0" applyFont="1" applyFill="1" applyBorder="1" applyAlignment="1" applyProtection="1">
      <alignment horizontal="center" vertical="center"/>
      <protection locked="0"/>
    </xf>
    <xf numFmtId="0" fontId="21" fillId="0" borderId="23" xfId="0" applyFont="1" applyFill="1" applyBorder="1" applyProtection="1">
      <protection locked="0"/>
    </xf>
    <xf numFmtId="0" fontId="21" fillId="0" borderId="52" xfId="0" applyFont="1" applyFill="1" applyBorder="1" applyAlignment="1" applyProtection="1">
      <alignment horizontal="center" vertical="center"/>
      <protection locked="0"/>
    </xf>
    <xf numFmtId="0" fontId="21" fillId="0" borderId="24" xfId="0" applyFont="1" applyFill="1" applyBorder="1" applyAlignment="1" applyProtection="1">
      <alignment horizontal="center" vertical="center"/>
      <protection locked="0"/>
    </xf>
    <xf numFmtId="0" fontId="21" fillId="0" borderId="12" xfId="0" applyFont="1" applyFill="1" applyBorder="1" applyAlignment="1" applyProtection="1">
      <alignment horizontal="center" vertical="center"/>
      <protection locked="0"/>
    </xf>
    <xf numFmtId="0" fontId="21" fillId="0" borderId="11" xfId="0" applyFont="1" applyFill="1" applyBorder="1" applyProtection="1">
      <protection locked="0"/>
    </xf>
    <xf numFmtId="0" fontId="21" fillId="0" borderId="19" xfId="0" applyFont="1" applyFill="1" applyBorder="1" applyAlignment="1" applyProtection="1">
      <alignment horizontal="center" vertical="center"/>
      <protection locked="0"/>
    </xf>
    <xf numFmtId="0" fontId="21" fillId="0" borderId="25" xfId="0" applyFont="1" applyFill="1" applyBorder="1" applyAlignment="1" applyProtection="1">
      <alignment horizontal="center" vertical="center"/>
      <protection locked="0"/>
    </xf>
    <xf numFmtId="0" fontId="28" fillId="0" borderId="28" xfId="0" applyFont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0" borderId="45" xfId="0" applyFont="1" applyBorder="1" applyAlignment="1">
      <alignment horizontal="center"/>
    </xf>
    <xf numFmtId="0" fontId="21" fillId="24" borderId="20" xfId="33" applyFont="1" applyFill="1" applyBorder="1" applyAlignment="1"/>
    <xf numFmtId="0" fontId="21" fillId="0" borderId="49" xfId="33" applyFont="1" applyFill="1" applyBorder="1" applyAlignment="1">
      <alignment horizontal="left"/>
    </xf>
    <xf numFmtId="0" fontId="21" fillId="0" borderId="8" xfId="33" applyFont="1" applyFill="1" applyBorder="1" applyAlignment="1">
      <alignment horizontal="left"/>
    </xf>
    <xf numFmtId="0" fontId="21" fillId="0" borderId="33" xfId="33" applyFont="1" applyFill="1" applyBorder="1" applyAlignment="1">
      <alignment horizontal="left"/>
    </xf>
    <xf numFmtId="0" fontId="21" fillId="25" borderId="20" xfId="33" applyFont="1" applyFill="1" applyBorder="1" applyAlignment="1"/>
    <xf numFmtId="0" fontId="21" fillId="0" borderId="25" xfId="33" applyFont="1" applyFill="1" applyBorder="1" applyAlignment="1">
      <alignment horizontal="left"/>
    </xf>
    <xf numFmtId="0" fontId="21" fillId="0" borderId="12" xfId="33" applyFont="1" applyFill="1" applyBorder="1" applyAlignment="1">
      <alignment horizontal="left"/>
    </xf>
    <xf numFmtId="0" fontId="21" fillId="0" borderId="11" xfId="33" applyFont="1" applyFill="1" applyBorder="1" applyAlignment="1">
      <alignment horizontal="left"/>
    </xf>
    <xf numFmtId="0" fontId="21" fillId="23" borderId="20" xfId="33" applyFont="1" applyFill="1" applyBorder="1" applyAlignment="1"/>
    <xf numFmtId="0" fontId="21" fillId="26" borderId="20" xfId="0" applyFont="1" applyFill="1" applyBorder="1"/>
    <xf numFmtId="0" fontId="21" fillId="0" borderId="48" xfId="33" applyFont="1" applyFill="1" applyBorder="1" applyAlignment="1">
      <alignment horizontal="left"/>
    </xf>
    <xf numFmtId="0" fontId="21" fillId="0" borderId="9" xfId="33" applyFont="1" applyFill="1" applyBorder="1" applyAlignment="1">
      <alignment horizontal="left"/>
    </xf>
    <xf numFmtId="0" fontId="21" fillId="0" borderId="10" xfId="33" applyFont="1" applyFill="1" applyBorder="1" applyAlignment="1">
      <alignment horizontal="left"/>
    </xf>
    <xf numFmtId="0" fontId="21" fillId="0" borderId="0" xfId="0" applyFont="1" applyBorder="1" applyAlignment="1">
      <alignment textRotation="90"/>
    </xf>
    <xf numFmtId="0" fontId="21" fillId="0" borderId="0" xfId="0" applyFont="1" applyAlignment="1"/>
    <xf numFmtId="166" fontId="21" fillId="0" borderId="19" xfId="0" applyNumberFormat="1" applyFont="1" applyBorder="1"/>
    <xf numFmtId="0" fontId="21" fillId="0" borderId="0" xfId="0" applyFont="1" applyFill="1"/>
    <xf numFmtId="0" fontId="21" fillId="0" borderId="0" xfId="33" applyFont="1" applyFill="1" applyBorder="1" applyAlignment="1">
      <alignment vertical="top"/>
    </xf>
    <xf numFmtId="0" fontId="21" fillId="0" borderId="0" xfId="33" applyFont="1" applyFill="1" applyBorder="1" applyAlignment="1">
      <alignment horizontal="left"/>
    </xf>
    <xf numFmtId="0" fontId="21" fillId="0" borderId="0" xfId="0" applyFont="1" applyBorder="1"/>
    <xf numFmtId="0" fontId="29" fillId="0" borderId="18" xfId="35" applyFont="1" applyBorder="1" applyProtection="1"/>
  </cellXfs>
  <cellStyles count="38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xr:uid="{00000000-0005-0000-0000-000018000000}"/>
    <cellStyle name="Check Cell" xfId="26" xr:uid="{00000000-0005-0000-0000-000019000000}"/>
    <cellStyle name="Explanatory Text" xfId="27" xr:uid="{00000000-0005-0000-0000-00001A000000}"/>
    <cellStyle name="Heading 1" xfId="28" xr:uid="{00000000-0005-0000-0000-00001B000000}"/>
    <cellStyle name="Heading 2" xfId="29" xr:uid="{00000000-0005-0000-0000-00001C000000}"/>
    <cellStyle name="Heading 3" xfId="30" xr:uid="{00000000-0005-0000-0000-00001D000000}"/>
    <cellStyle name="Heading 4" xfId="31" xr:uid="{00000000-0005-0000-0000-00001E000000}"/>
    <cellStyle name="Input" xfId="32" xr:uid="{00000000-0005-0000-0000-00001F000000}"/>
    <cellStyle name="Normal" xfId="0" builtinId="0"/>
    <cellStyle name="Normal 2" xfId="33" xr:uid="{00000000-0005-0000-0000-000021000000}"/>
    <cellStyle name="Normal_Sheet1 (2)" xfId="34" xr:uid="{00000000-0005-0000-0000-000022000000}"/>
    <cellStyle name="Normal_Sheet2" xfId="35" xr:uid="{00000000-0005-0000-0000-000023000000}"/>
    <cellStyle name="Note" xfId="36" xr:uid="{00000000-0005-0000-0000-000024000000}"/>
    <cellStyle name="Output" xfId="37" xr:uid="{00000000-0005-0000-0000-000025000000}"/>
  </cellStyles>
  <dxfs count="460"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0</xdr:rowOff>
        </xdr:from>
        <xdr:to>
          <xdr:col>13</xdr:col>
          <xdr:colOff>4763</xdr:colOff>
          <xdr:row>5</xdr:row>
          <xdr:rowOff>14288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13</xdr:col>
          <xdr:colOff>4763</xdr:colOff>
          <xdr:row>8</xdr:row>
          <xdr:rowOff>14288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Unlock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11"/>
  <sheetViews>
    <sheetView tabSelected="1" workbookViewId="0"/>
  </sheetViews>
  <sheetFormatPr defaultColWidth="9.19921875" defaultRowHeight="12.75" x14ac:dyDescent="0.35"/>
  <cols>
    <col min="1" max="1" width="26.265625" style="38" bestFit="1" customWidth="1"/>
    <col min="2" max="2" width="43.19921875" style="38" customWidth="1"/>
    <col min="3" max="16384" width="9.19921875" style="38"/>
  </cols>
  <sheetData>
    <row r="2" spans="1:2" ht="13.15" thickBot="1" x14ac:dyDescent="0.4"/>
    <row r="3" spans="1:2" ht="13.5" thickBot="1" x14ac:dyDescent="0.45">
      <c r="A3" s="40" t="s">
        <v>48</v>
      </c>
      <c r="B3" s="41"/>
    </row>
    <row r="4" spans="1:2" x14ac:dyDescent="0.35">
      <c r="A4" s="46" t="s">
        <v>49</v>
      </c>
      <c r="B4" s="47"/>
    </row>
    <row r="5" spans="1:2" ht="13.15" thickBot="1" x14ac:dyDescent="0.4">
      <c r="A5" s="48" t="s">
        <v>50</v>
      </c>
      <c r="B5" s="49"/>
    </row>
    <row r="6" spans="1:2" ht="13.15" thickBot="1" x14ac:dyDescent="0.4">
      <c r="A6" s="39"/>
      <c r="B6" s="39"/>
    </row>
    <row r="7" spans="1:2" ht="13.5" thickBot="1" x14ac:dyDescent="0.45">
      <c r="A7" s="40" t="s">
        <v>51</v>
      </c>
      <c r="B7" s="50"/>
    </row>
    <row r="8" spans="1:2" x14ac:dyDescent="0.35">
      <c r="A8" s="51" t="s">
        <v>52</v>
      </c>
      <c r="B8" s="52"/>
    </row>
    <row r="9" spans="1:2" x14ac:dyDescent="0.35">
      <c r="A9" s="42" t="s">
        <v>53</v>
      </c>
      <c r="B9" s="43"/>
    </row>
    <row r="10" spans="1:2" ht="13.15" thickBot="1" x14ac:dyDescent="0.4">
      <c r="A10" s="44" t="s">
        <v>54</v>
      </c>
      <c r="B10" s="45"/>
    </row>
    <row r="11" spans="1:2" x14ac:dyDescent="0.35">
      <c r="A11" s="39"/>
      <c r="B11" s="39"/>
    </row>
  </sheetData>
  <mergeCells count="7">
    <mergeCell ref="A3:B3"/>
    <mergeCell ref="A9:B9"/>
    <mergeCell ref="A10:B10"/>
    <mergeCell ref="A4:B4"/>
    <mergeCell ref="A5:B5"/>
    <mergeCell ref="A7:B7"/>
    <mergeCell ref="A8:B8"/>
  </mergeCells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25"/>
  <sheetViews>
    <sheetView workbookViewId="0">
      <selection activeCell="C2" sqref="C2"/>
    </sheetView>
  </sheetViews>
  <sheetFormatPr defaultColWidth="9.19921875" defaultRowHeight="12.75" x14ac:dyDescent="0.35"/>
  <cols>
    <col min="1" max="1" width="16.46484375" style="6" customWidth="1"/>
    <col min="2" max="2" width="3" style="6" bestFit="1" customWidth="1"/>
    <col min="3" max="3" width="9.19921875" style="6"/>
    <col min="4" max="4" width="3" style="6" bestFit="1" customWidth="1"/>
    <col min="5" max="5" width="16" style="6" customWidth="1"/>
    <col min="6" max="6" width="8.73046875" style="6" customWidth="1"/>
    <col min="7" max="7" width="9.19921875" style="6"/>
    <col min="8" max="8" width="7.19921875" style="6" customWidth="1"/>
    <col min="9" max="9" width="33" style="6" bestFit="1" customWidth="1"/>
    <col min="10" max="16384" width="9.19921875" style="6"/>
  </cols>
  <sheetData>
    <row r="1" spans="1:9" ht="13.5" thickBot="1" x14ac:dyDescent="0.45">
      <c r="A1" s="22" t="s">
        <v>78</v>
      </c>
      <c r="B1" s="7"/>
      <c r="C1" s="22" t="s">
        <v>55</v>
      </c>
      <c r="D1" s="12"/>
      <c r="E1" s="53" t="s">
        <v>56</v>
      </c>
      <c r="F1" s="54"/>
      <c r="H1" s="24" t="s">
        <v>21</v>
      </c>
      <c r="I1" s="28"/>
    </row>
    <row r="2" spans="1:9" ht="13.15" thickBot="1" x14ac:dyDescent="0.4">
      <c r="A2" s="20"/>
      <c r="B2" s="10"/>
      <c r="C2" s="19">
        <v>2020</v>
      </c>
      <c r="D2" s="13"/>
      <c r="E2" s="33" t="s">
        <v>57</v>
      </c>
      <c r="F2" s="18">
        <v>1</v>
      </c>
      <c r="H2" s="25">
        <v>1</v>
      </c>
      <c r="I2" s="29" t="s">
        <v>4</v>
      </c>
    </row>
    <row r="3" spans="1:9" x14ac:dyDescent="0.35">
      <c r="A3" s="8"/>
      <c r="B3" s="11"/>
      <c r="E3" s="34" t="s">
        <v>58</v>
      </c>
      <c r="F3" s="15">
        <v>2</v>
      </c>
      <c r="H3" s="26">
        <v>2</v>
      </c>
      <c r="I3" s="30" t="s">
        <v>65</v>
      </c>
    </row>
    <row r="4" spans="1:9" x14ac:dyDescent="0.35">
      <c r="A4" s="8"/>
      <c r="B4" s="11"/>
      <c r="E4" s="34" t="s">
        <v>59</v>
      </c>
      <c r="F4" s="15">
        <v>3</v>
      </c>
      <c r="H4" s="26">
        <v>3</v>
      </c>
      <c r="I4" s="30" t="s">
        <v>66</v>
      </c>
    </row>
    <row r="5" spans="1:9" x14ac:dyDescent="0.35">
      <c r="A5" s="8"/>
      <c r="B5" s="11"/>
      <c r="E5" s="14" t="s">
        <v>9</v>
      </c>
      <c r="F5" s="15">
        <v>4</v>
      </c>
      <c r="H5" s="26"/>
      <c r="I5" s="30"/>
    </row>
    <row r="6" spans="1:9" ht="13.15" thickBot="1" x14ac:dyDescent="0.4">
      <c r="A6" s="8"/>
      <c r="B6" s="11"/>
      <c r="E6" s="34" t="s">
        <v>60</v>
      </c>
      <c r="F6" s="15">
        <v>5</v>
      </c>
      <c r="H6" s="27"/>
      <c r="I6" s="31"/>
    </row>
    <row r="7" spans="1:9" x14ac:dyDescent="0.35">
      <c r="A7" s="8"/>
      <c r="B7" s="11"/>
      <c r="E7" s="34" t="s">
        <v>61</v>
      </c>
      <c r="F7" s="15">
        <v>6</v>
      </c>
    </row>
    <row r="8" spans="1:9" x14ac:dyDescent="0.35">
      <c r="A8" s="8"/>
      <c r="B8" s="11"/>
      <c r="E8" s="34" t="s">
        <v>62</v>
      </c>
      <c r="F8" s="15">
        <v>7</v>
      </c>
    </row>
    <row r="9" spans="1:9" ht="13.15" thickBot="1" x14ac:dyDescent="0.4">
      <c r="A9" s="9"/>
      <c r="B9" s="11"/>
      <c r="E9" s="34" t="s">
        <v>63</v>
      </c>
      <c r="F9" s="15">
        <v>8</v>
      </c>
    </row>
    <row r="10" spans="1:9" x14ac:dyDescent="0.35">
      <c r="E10" s="34" t="s">
        <v>10</v>
      </c>
      <c r="F10" s="15">
        <v>9</v>
      </c>
    </row>
    <row r="11" spans="1:9" x14ac:dyDescent="0.35">
      <c r="E11" s="34" t="s">
        <v>64</v>
      </c>
      <c r="F11" s="15">
        <v>10</v>
      </c>
    </row>
    <row r="12" spans="1:9" x14ac:dyDescent="0.35">
      <c r="E12" s="14" t="s">
        <v>11</v>
      </c>
      <c r="F12" s="15">
        <v>11</v>
      </c>
    </row>
    <row r="13" spans="1:9" ht="13.15" thickBot="1" x14ac:dyDescent="0.4">
      <c r="E13" s="16" t="s">
        <v>12</v>
      </c>
      <c r="F13" s="17">
        <v>12</v>
      </c>
    </row>
    <row r="18" spans="1:13" ht="13.15" thickBot="1" x14ac:dyDescent="0.4"/>
    <row r="19" spans="1:13" ht="13.5" thickBot="1" x14ac:dyDescent="0.45">
      <c r="A19" s="63" t="s">
        <v>70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5"/>
    </row>
    <row r="20" spans="1:13" ht="13.5" thickBot="1" x14ac:dyDescent="0.45">
      <c r="A20" s="66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8"/>
    </row>
    <row r="21" spans="1:13" ht="13.5" thickBot="1" x14ac:dyDescent="0.4">
      <c r="A21" s="23" t="s">
        <v>71</v>
      </c>
      <c r="B21" s="62" t="s">
        <v>72</v>
      </c>
      <c r="C21" s="62"/>
      <c r="D21" s="62"/>
      <c r="E21" s="62"/>
      <c r="F21" s="62"/>
      <c r="G21" s="62"/>
      <c r="H21" s="62" t="s">
        <v>73</v>
      </c>
      <c r="I21" s="62"/>
      <c r="J21" s="62"/>
      <c r="K21" s="62"/>
      <c r="L21" s="73"/>
      <c r="M21" s="21"/>
    </row>
    <row r="22" spans="1:13" ht="25.5" customHeight="1" x14ac:dyDescent="0.35">
      <c r="A22" s="35" t="s">
        <v>67</v>
      </c>
      <c r="B22" s="55" t="s">
        <v>74</v>
      </c>
      <c r="C22" s="56"/>
      <c r="D22" s="56"/>
      <c r="E22" s="56"/>
      <c r="F22" s="56"/>
      <c r="G22" s="56"/>
      <c r="H22" s="56" t="s">
        <v>20</v>
      </c>
      <c r="I22" s="56"/>
      <c r="J22" s="56"/>
      <c r="K22" s="56"/>
      <c r="L22" s="72"/>
      <c r="M22" s="21"/>
    </row>
    <row r="23" spans="1:13" ht="25.5" customHeight="1" x14ac:dyDescent="0.35">
      <c r="A23" s="36" t="s">
        <v>16</v>
      </c>
      <c r="B23" s="57" t="s">
        <v>75</v>
      </c>
      <c r="C23" s="58"/>
      <c r="D23" s="58"/>
      <c r="E23" s="58"/>
      <c r="F23" s="58"/>
      <c r="G23" s="58"/>
      <c r="H23" s="58" t="s">
        <v>17</v>
      </c>
      <c r="I23" s="58"/>
      <c r="J23" s="58"/>
      <c r="K23" s="58"/>
      <c r="L23" s="69"/>
      <c r="M23" s="21"/>
    </row>
    <row r="24" spans="1:13" ht="25.5" customHeight="1" x14ac:dyDescent="0.35">
      <c r="A24" s="36" t="s">
        <v>68</v>
      </c>
      <c r="B24" s="57" t="s">
        <v>76</v>
      </c>
      <c r="C24" s="58"/>
      <c r="D24" s="58"/>
      <c r="E24" s="58"/>
      <c r="F24" s="58"/>
      <c r="G24" s="58"/>
      <c r="H24" s="58" t="s">
        <v>19</v>
      </c>
      <c r="I24" s="58"/>
      <c r="J24" s="58"/>
      <c r="K24" s="58"/>
      <c r="L24" s="69"/>
      <c r="M24" s="21"/>
    </row>
    <row r="25" spans="1:13" ht="26.25" customHeight="1" thickBot="1" x14ac:dyDescent="0.4">
      <c r="A25" s="37" t="s">
        <v>69</v>
      </c>
      <c r="B25" s="59" t="s">
        <v>77</v>
      </c>
      <c r="C25" s="60"/>
      <c r="D25" s="60"/>
      <c r="E25" s="60"/>
      <c r="F25" s="60"/>
      <c r="G25" s="61"/>
      <c r="H25" s="70" t="s">
        <v>18</v>
      </c>
      <c r="I25" s="70"/>
      <c r="J25" s="70"/>
      <c r="K25" s="70"/>
      <c r="L25" s="71"/>
      <c r="M25" s="21"/>
    </row>
  </sheetData>
  <mergeCells count="13">
    <mergeCell ref="E1:F1"/>
    <mergeCell ref="B22:G22"/>
    <mergeCell ref="B23:G23"/>
    <mergeCell ref="B25:G25"/>
    <mergeCell ref="B24:G24"/>
    <mergeCell ref="B21:G21"/>
    <mergeCell ref="A19:L19"/>
    <mergeCell ref="A20:L20"/>
    <mergeCell ref="H23:L23"/>
    <mergeCell ref="H25:L25"/>
    <mergeCell ref="H24:L24"/>
    <mergeCell ref="H22:L22"/>
    <mergeCell ref="H21:L2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ockAllSheets">
                <anchor moveWithCells="1" siz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13</xdr:col>
                    <xdr:colOff>4763</xdr:colOff>
                    <xdr:row>5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UnlockAllSheets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13</xdr:col>
                    <xdr:colOff>4763</xdr:colOff>
                    <xdr:row>8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K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3.15" x14ac:dyDescent="0.4"/>
  <cols>
    <col min="1" max="1" width="8.796875" style="74" hidden="1" customWidth="1"/>
    <col min="2" max="2" width="4.265625" style="74" hidden="1" customWidth="1"/>
    <col min="3" max="3" width="25.73046875" style="74" bestFit="1" customWidth="1"/>
    <col min="4" max="5" width="3.19921875" style="74" bestFit="1" customWidth="1"/>
    <col min="6" max="8" width="3.19921875" style="74" customWidth="1"/>
    <col min="9" max="10" width="3.19921875" style="74" bestFit="1" customWidth="1"/>
    <col min="11" max="18" width="3.19921875" style="74" customWidth="1"/>
    <col min="19" max="19" width="3.19921875" style="74" bestFit="1" customWidth="1"/>
    <col min="20" max="24" width="3.19921875" style="74" customWidth="1"/>
    <col min="25" max="25" width="3.19921875" style="74" bestFit="1" customWidth="1"/>
    <col min="26" max="32" width="3.19921875" style="74" customWidth="1"/>
    <col min="33" max="33" width="2.73046875" style="74" bestFit="1" customWidth="1"/>
    <col min="34" max="34" width="14" style="74" bestFit="1" customWidth="1"/>
    <col min="35" max="39" width="3.19921875" style="74" bestFit="1" customWidth="1"/>
    <col min="40" max="46" width="3.19921875" style="74" customWidth="1"/>
    <col min="47" max="47" width="3.19921875" style="74" bestFit="1" customWidth="1"/>
    <col min="48" max="48" width="3.19921875" style="74" customWidth="1"/>
    <col min="49" max="49" width="3.19921875" style="74" bestFit="1" customWidth="1"/>
    <col min="50" max="50" width="2.73046875" style="74" bestFit="1" customWidth="1"/>
    <col min="51" max="64" width="2.73046875" style="74" customWidth="1"/>
    <col min="65" max="65" width="14" style="74" bestFit="1" customWidth="1"/>
    <col min="66" max="70" width="3.19921875" style="74" bestFit="1" customWidth="1"/>
    <col min="71" max="77" width="3.19921875" style="74" customWidth="1"/>
    <col min="78" max="78" width="3.19921875" style="74" bestFit="1" customWidth="1"/>
    <col min="79" max="79" width="3.19921875" style="74" customWidth="1"/>
    <col min="80" max="80" width="3.19921875" style="74" bestFit="1" customWidth="1"/>
    <col min="81" max="81" width="2.73046875" style="74" bestFit="1" customWidth="1"/>
    <col min="82" max="95" width="2.73046875" style="74" customWidth="1"/>
    <col min="96" max="96" width="14" style="74" bestFit="1" customWidth="1"/>
    <col min="97" max="102" width="3.19921875" style="74" bestFit="1" customWidth="1"/>
    <col min="103" max="110" width="3.19921875" style="74" customWidth="1"/>
    <col min="111" max="111" width="3.19921875" style="74" bestFit="1" customWidth="1"/>
    <col min="112" max="112" width="2.73046875" style="74" bestFit="1" customWidth="1"/>
    <col min="113" max="126" width="2.73046875" style="74" customWidth="1"/>
    <col min="127" max="127" width="14" style="74" bestFit="1" customWidth="1"/>
    <col min="128" max="128" width="6" style="74" customWidth="1"/>
    <col min="129" max="16384" width="9.06640625" style="74"/>
  </cols>
  <sheetData>
    <row r="1" spans="1:141" ht="18.399999999999999" thickBot="1" x14ac:dyDescent="0.6">
      <c r="C1" s="75" t="s">
        <v>5</v>
      </c>
      <c r="D1" s="76" t="s">
        <v>44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8"/>
      <c r="AI1" s="79" t="s">
        <v>45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1"/>
      <c r="BN1" s="82" t="s">
        <v>46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4"/>
      <c r="CS1" s="85" t="s">
        <v>47</v>
      </c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7"/>
    </row>
    <row r="2" spans="1:141" ht="14.65" thickBot="1" x14ac:dyDescent="0.5">
      <c r="A2" s="74" t="s">
        <v>13</v>
      </c>
      <c r="B2" s="74" t="s">
        <v>14</v>
      </c>
      <c r="C2" s="88" t="s">
        <v>3</v>
      </c>
      <c r="D2" s="89" t="str">
        <f>+Template!D2</f>
        <v>D</v>
      </c>
      <c r="E2" s="90" t="str">
        <f>+Template!E2</f>
        <v>D</v>
      </c>
      <c r="F2" s="90" t="str">
        <f>+Template!F2</f>
        <v>D</v>
      </c>
      <c r="G2" s="90" t="str">
        <f>+Template!G2</f>
        <v>D</v>
      </c>
      <c r="H2" s="90" t="str">
        <f>+Template!H2</f>
        <v>D</v>
      </c>
      <c r="I2" s="91" t="str">
        <f>+Template!I2</f>
        <v>D</v>
      </c>
      <c r="J2" s="91" t="str">
        <f>+Template!J2</f>
        <v>D</v>
      </c>
      <c r="K2" s="91" t="str">
        <f>+Template!K2</f>
        <v>D</v>
      </c>
      <c r="L2" s="91" t="str">
        <f>+Template!L2</f>
        <v>D</v>
      </c>
      <c r="M2" s="91" t="s">
        <v>2</v>
      </c>
      <c r="N2" s="91" t="s">
        <v>2</v>
      </c>
      <c r="O2" s="91" t="str">
        <f>+Template!O2</f>
        <v>D</v>
      </c>
      <c r="P2" s="91" t="str">
        <f>+Template!P2</f>
        <v>D</v>
      </c>
      <c r="Q2" s="91" t="s">
        <v>2</v>
      </c>
      <c r="R2" s="91" t="str">
        <f>+Template!R2</f>
        <v>D</v>
      </c>
      <c r="S2" s="91" t="str">
        <f>+Template!S2</f>
        <v>D</v>
      </c>
      <c r="T2" s="91" t="str">
        <f>+Template!T2</f>
        <v>D</v>
      </c>
      <c r="U2" s="91" t="str">
        <f>+Template!U2</f>
        <v>D</v>
      </c>
      <c r="V2" s="91" t="str">
        <f>+Template!V2</f>
        <v>D</v>
      </c>
      <c r="W2" s="91" t="str">
        <f>+Template!W2</f>
        <v>D</v>
      </c>
      <c r="X2" s="91" t="str">
        <f>+Template!X2</f>
        <v>W</v>
      </c>
      <c r="Y2" s="91" t="str">
        <f>+Template!Y2</f>
        <v>W</v>
      </c>
      <c r="Z2" s="91" t="str">
        <f>+Template!Z2</f>
        <v>W</v>
      </c>
      <c r="AA2" s="91" t="str">
        <f>+Template!AA2</f>
        <v>W</v>
      </c>
      <c r="AB2" s="91" t="str">
        <f>+Template!AB2</f>
        <v>M</v>
      </c>
      <c r="AC2" s="91" t="str">
        <f>+Template!AC2</f>
        <v>M</v>
      </c>
      <c r="AD2" s="91" t="str">
        <f>+Template!AD2</f>
        <v>M</v>
      </c>
      <c r="AE2" s="91" t="str">
        <f>+Template!AE2</f>
        <v>M</v>
      </c>
      <c r="AF2" s="91" t="str">
        <f>+Template!AF2</f>
        <v>Q</v>
      </c>
      <c r="AG2" s="91" t="str">
        <f>+Template!AG2</f>
        <v>Q</v>
      </c>
      <c r="AH2" s="92"/>
      <c r="AI2" s="89" t="str">
        <f>+Template!D2</f>
        <v>D</v>
      </c>
      <c r="AJ2" s="90" t="str">
        <f>+Template!E2</f>
        <v>D</v>
      </c>
      <c r="AK2" s="90" t="str">
        <f>+Template!F2</f>
        <v>D</v>
      </c>
      <c r="AL2" s="90" t="str">
        <f>+Template!G2</f>
        <v>D</v>
      </c>
      <c r="AM2" s="90" t="str">
        <f>+Template!H2</f>
        <v>D</v>
      </c>
      <c r="AN2" s="90" t="str">
        <f>+Template!I2</f>
        <v>D</v>
      </c>
      <c r="AO2" s="90" t="str">
        <f>+Template!J2</f>
        <v>D</v>
      </c>
      <c r="AP2" s="90" t="str">
        <f>+Template!K2</f>
        <v>D</v>
      </c>
      <c r="AQ2" s="90" t="str">
        <f>+Template!L2</f>
        <v>D</v>
      </c>
      <c r="AR2" s="91" t="s">
        <v>2</v>
      </c>
      <c r="AS2" s="91" t="s">
        <v>2</v>
      </c>
      <c r="AT2" s="90" t="str">
        <f>+Template!O2</f>
        <v>D</v>
      </c>
      <c r="AU2" s="91" t="str">
        <f>+Template!P2</f>
        <v>D</v>
      </c>
      <c r="AV2" s="91" t="s">
        <v>2</v>
      </c>
      <c r="AW2" s="91" t="str">
        <f>+Template!R2</f>
        <v>D</v>
      </c>
      <c r="AX2" s="91" t="str">
        <f>+Template!S2</f>
        <v>D</v>
      </c>
      <c r="AY2" s="91" t="str">
        <f>+Template!T2</f>
        <v>D</v>
      </c>
      <c r="AZ2" s="91" t="str">
        <f>+Template!U2</f>
        <v>D</v>
      </c>
      <c r="BA2" s="91" t="str">
        <f>+Template!V2</f>
        <v>D</v>
      </c>
      <c r="BB2" s="91" t="str">
        <f>+Template!W2</f>
        <v>D</v>
      </c>
      <c r="BC2" s="91" t="str">
        <f>+Template!X2</f>
        <v>W</v>
      </c>
      <c r="BD2" s="91" t="str">
        <f>+Template!Y2</f>
        <v>W</v>
      </c>
      <c r="BE2" s="91" t="str">
        <f>+Template!Z2</f>
        <v>W</v>
      </c>
      <c r="BF2" s="91" t="str">
        <f>+Template!AA2</f>
        <v>W</v>
      </c>
      <c r="BG2" s="91" t="str">
        <f>+Template!AB2</f>
        <v>M</v>
      </c>
      <c r="BH2" s="91" t="str">
        <f>+Template!AC2</f>
        <v>M</v>
      </c>
      <c r="BI2" s="91" t="str">
        <f>+Template!AD2</f>
        <v>M</v>
      </c>
      <c r="BJ2" s="91" t="str">
        <f>+Template!AE2</f>
        <v>M</v>
      </c>
      <c r="BK2" s="91" t="str">
        <f>+Template!AF2</f>
        <v>Q</v>
      </c>
      <c r="BL2" s="91" t="str">
        <f>+Template!AG2</f>
        <v>Q</v>
      </c>
      <c r="BM2" s="92"/>
      <c r="BN2" s="89" t="str">
        <f>+Template!D2</f>
        <v>D</v>
      </c>
      <c r="BO2" s="90" t="str">
        <f>+Template!E2</f>
        <v>D</v>
      </c>
      <c r="BP2" s="90" t="str">
        <f>+Template!F2</f>
        <v>D</v>
      </c>
      <c r="BQ2" s="90" t="str">
        <f>+Template!G2</f>
        <v>D</v>
      </c>
      <c r="BR2" s="90" t="str">
        <f>+Template!H2</f>
        <v>D</v>
      </c>
      <c r="BS2" s="90" t="str">
        <f>+Template!I2</f>
        <v>D</v>
      </c>
      <c r="BT2" s="90" t="str">
        <f>+Template!J2</f>
        <v>D</v>
      </c>
      <c r="BU2" s="90" t="str">
        <f>+Template!K2</f>
        <v>D</v>
      </c>
      <c r="BV2" s="90" t="str">
        <f>+Template!L2</f>
        <v>D</v>
      </c>
      <c r="BW2" s="91" t="s">
        <v>2</v>
      </c>
      <c r="BX2" s="91" t="s">
        <v>2</v>
      </c>
      <c r="BY2" s="90" t="str">
        <f>+Template!O2</f>
        <v>D</v>
      </c>
      <c r="BZ2" s="91" t="str">
        <f>+Template!P2</f>
        <v>D</v>
      </c>
      <c r="CA2" s="91" t="s">
        <v>2</v>
      </c>
      <c r="CB2" s="91" t="str">
        <f>+Template!R2</f>
        <v>D</v>
      </c>
      <c r="CC2" s="91" t="str">
        <f>+Template!S2</f>
        <v>D</v>
      </c>
      <c r="CD2" s="91" t="str">
        <f>+Template!T2</f>
        <v>D</v>
      </c>
      <c r="CE2" s="91" t="str">
        <f>+Template!U2</f>
        <v>D</v>
      </c>
      <c r="CF2" s="91" t="str">
        <f>+Template!V2</f>
        <v>D</v>
      </c>
      <c r="CG2" s="91" t="str">
        <f>+Template!W2</f>
        <v>D</v>
      </c>
      <c r="CH2" s="91" t="str">
        <f>+Template!X2</f>
        <v>W</v>
      </c>
      <c r="CI2" s="91" t="str">
        <f>+Template!Y2</f>
        <v>W</v>
      </c>
      <c r="CJ2" s="91" t="str">
        <f>+Template!Z2</f>
        <v>W</v>
      </c>
      <c r="CK2" s="91" t="str">
        <f>+Template!AA2</f>
        <v>W</v>
      </c>
      <c r="CL2" s="91" t="str">
        <f>+Template!AB2</f>
        <v>M</v>
      </c>
      <c r="CM2" s="91" t="str">
        <f>+Template!AC2</f>
        <v>M</v>
      </c>
      <c r="CN2" s="91" t="str">
        <f>+Template!AD2</f>
        <v>M</v>
      </c>
      <c r="CO2" s="91" t="str">
        <f>+Template!AE2</f>
        <v>M</v>
      </c>
      <c r="CP2" s="91" t="str">
        <f>+Template!AF2</f>
        <v>Q</v>
      </c>
      <c r="CQ2" s="91" t="str">
        <f>+Template!AG2</f>
        <v>Q</v>
      </c>
      <c r="CR2" s="92"/>
      <c r="CS2" s="89" t="str">
        <f>+Template!D2</f>
        <v>D</v>
      </c>
      <c r="CT2" s="90" t="str">
        <f>+Template!E2</f>
        <v>D</v>
      </c>
      <c r="CU2" s="90" t="str">
        <f>+Template!F2</f>
        <v>D</v>
      </c>
      <c r="CV2" s="90" t="str">
        <f>+Template!G2</f>
        <v>D</v>
      </c>
      <c r="CW2" s="90" t="str">
        <f>+Template!H2</f>
        <v>D</v>
      </c>
      <c r="CX2" s="91" t="str">
        <f>+Template!I2</f>
        <v>D</v>
      </c>
      <c r="CY2" s="91" t="str">
        <f>+Template!J2</f>
        <v>D</v>
      </c>
      <c r="CZ2" s="91" t="str">
        <f>+Template!K2</f>
        <v>D</v>
      </c>
      <c r="DA2" s="91" t="str">
        <f>+Template!L2</f>
        <v>D</v>
      </c>
      <c r="DB2" s="91" t="s">
        <v>2</v>
      </c>
      <c r="DC2" s="91" t="s">
        <v>2</v>
      </c>
      <c r="DD2" s="91" t="str">
        <f>+Template!O2</f>
        <v>D</v>
      </c>
      <c r="DE2" s="91" t="str">
        <f>+Template!P2</f>
        <v>D</v>
      </c>
      <c r="DF2" s="91" t="s">
        <v>2</v>
      </c>
      <c r="DG2" s="91" t="str">
        <f>+Template!R2</f>
        <v>D</v>
      </c>
      <c r="DH2" s="91" t="str">
        <f>+Template!S2</f>
        <v>D</v>
      </c>
      <c r="DI2" s="91" t="str">
        <f>+Template!T2</f>
        <v>D</v>
      </c>
      <c r="DJ2" s="91" t="str">
        <f>+Template!U2</f>
        <v>D</v>
      </c>
      <c r="DK2" s="91" t="str">
        <f>+Template!V2</f>
        <v>D</v>
      </c>
      <c r="DL2" s="91" t="str">
        <f>+Template!W2</f>
        <v>D</v>
      </c>
      <c r="DM2" s="91" t="str">
        <f>+Template!X2</f>
        <v>W</v>
      </c>
      <c r="DN2" s="91" t="str">
        <f>+Template!Y2</f>
        <v>W</v>
      </c>
      <c r="DO2" s="91" t="str">
        <f>+Template!Z2</f>
        <v>W</v>
      </c>
      <c r="DP2" s="91" t="str">
        <f>+Template!AA2</f>
        <v>W</v>
      </c>
      <c r="DQ2" s="91" t="str">
        <f>+Template!AB2</f>
        <v>M</v>
      </c>
      <c r="DR2" s="91" t="str">
        <f>+Template!AC2</f>
        <v>M</v>
      </c>
      <c r="DS2" s="91" t="str">
        <f>+Template!AD2</f>
        <v>M</v>
      </c>
      <c r="DT2" s="91" t="str">
        <f>+Template!AE2</f>
        <v>M</v>
      </c>
      <c r="DU2" s="91" t="str">
        <f>+Template!AF2</f>
        <v>Q</v>
      </c>
      <c r="DV2" s="91" t="str">
        <f>+Template!AG2</f>
        <v>Q</v>
      </c>
      <c r="DW2" s="132"/>
    </row>
    <row r="3" spans="1:141" ht="150" x14ac:dyDescent="0.4">
      <c r="B3" s="74">
        <f>VLOOKUP(C3,Data!E2:F13,2,FALSE)</f>
        <v>1</v>
      </c>
      <c r="C3" s="93" t="s">
        <v>57</v>
      </c>
      <c r="D3" s="94" t="str">
        <f>+Template!D3</f>
        <v>Quick environment check</v>
      </c>
      <c r="E3" s="95" t="str">
        <f>+Template!E3</f>
        <v>Health Analyzer Issues</v>
      </c>
      <c r="F3" s="95" t="str">
        <f>+Template!F3</f>
        <v>Content Database Status</v>
      </c>
      <c r="G3" s="95" t="str">
        <f>+Template!G3</f>
        <v>Upgrade Status Servers</v>
      </c>
      <c r="H3" s="95" t="str">
        <f>+Template!H3</f>
        <v>Upgrade Status Databases</v>
      </c>
      <c r="I3" s="95" t="str">
        <f>+Template!I3</f>
        <v>Failed Timer Jobs</v>
      </c>
      <c r="J3" s="95" t="str">
        <f>+Template!J3</f>
        <v>Deployment Status Solutions</v>
      </c>
      <c r="K3" s="95" t="str">
        <f>+Template!K3</f>
        <v>Content Database Size</v>
      </c>
      <c r="L3" s="95" t="str">
        <f>+Template!L3</f>
        <v>Service Application Status</v>
      </c>
      <c r="M3" s="95" t="s">
        <v>98</v>
      </c>
      <c r="N3" s="95" t="s">
        <v>99</v>
      </c>
      <c r="O3" s="95" t="str">
        <f>+Template!O3</f>
        <v>Search Topology</v>
      </c>
      <c r="P3" s="95" t="str">
        <f>+Template!P3</f>
        <v>Search Gatherer Logs</v>
      </c>
      <c r="Q3" s="95" t="s">
        <v>100</v>
      </c>
      <c r="R3" s="95" t="str">
        <f>+Template!R3</f>
        <v>Last Boot Time</v>
      </c>
      <c r="S3" s="95" t="str">
        <f>+Template!S3</f>
        <v>Running Services Check</v>
      </c>
      <c r="T3" s="95" t="str">
        <f>+Template!T3</f>
        <v>Scheduled Tasks</v>
      </c>
      <c r="U3" s="95" t="str">
        <f>+Template!U3</f>
        <v>Running websites en application pools</v>
      </c>
      <c r="V3" s="95" t="str">
        <f>+Template!V3</f>
        <v>Group Membership Check</v>
      </c>
      <c r="W3" s="95" t="str">
        <f>+Template!W3</f>
        <v>Backup Status</v>
      </c>
      <c r="X3" s="95" t="str">
        <f>+Template!X3</f>
        <v>Permissions Check</v>
      </c>
      <c r="Y3" s="95" t="str">
        <f>+Template!Y3</f>
        <v>New Updates</v>
      </c>
      <c r="Z3" s="95" t="str">
        <f>+Template!Z3</f>
        <v>Baseline Settings</v>
      </c>
      <c r="AA3" s="95" t="str">
        <f>+Template!AA3</f>
        <v>Access Check</v>
      </c>
      <c r="AB3" s="95" t="str">
        <f>+Template!AB3</f>
        <v>Missing Security Updates/Service Packs</v>
      </c>
      <c r="AC3" s="95" t="str">
        <f>+Template!AC3</f>
        <v>Policy Compliance</v>
      </c>
      <c r="AD3" s="95" t="str">
        <f>+Template!AD3</f>
        <v>Documentation Check</v>
      </c>
      <c r="AE3" s="95" t="str">
        <f>+Template!AE3</f>
        <v>SSL Certificates Check</v>
      </c>
      <c r="AF3" s="95" t="str">
        <f>+Template!AF3</f>
        <v>Disaster Recovery Test</v>
      </c>
      <c r="AG3" s="95" t="str">
        <f>+Template!AG3</f>
        <v>Lifecycle Check</v>
      </c>
      <c r="AH3" s="96" t="str">
        <f>+Template!AH3</f>
        <v>Performed by:</v>
      </c>
      <c r="AI3" s="94" t="str">
        <f>+Template!D3</f>
        <v>Quick environment check</v>
      </c>
      <c r="AJ3" s="95" t="str">
        <f>+Template!E3</f>
        <v>Health Analyzer Issues</v>
      </c>
      <c r="AK3" s="95" t="str">
        <f>+Template!F3</f>
        <v>Content Database Status</v>
      </c>
      <c r="AL3" s="95" t="str">
        <f>+Template!G3</f>
        <v>Upgrade Status Servers</v>
      </c>
      <c r="AM3" s="95" t="str">
        <f>+Template!H3</f>
        <v>Upgrade Status Databases</v>
      </c>
      <c r="AN3" s="95" t="str">
        <f>+Template!I3</f>
        <v>Failed Timer Jobs</v>
      </c>
      <c r="AO3" s="95" t="str">
        <f>+Template!J3</f>
        <v>Deployment Status Solutions</v>
      </c>
      <c r="AP3" s="95" t="str">
        <f>+Template!K3</f>
        <v>Content Database Size</v>
      </c>
      <c r="AQ3" s="95" t="str">
        <f>+Template!L3</f>
        <v>Service Application Status</v>
      </c>
      <c r="AR3" s="95" t="s">
        <v>98</v>
      </c>
      <c r="AS3" s="95" t="s">
        <v>99</v>
      </c>
      <c r="AT3" s="95" t="str">
        <f>+Template!O3</f>
        <v>Search Topology</v>
      </c>
      <c r="AU3" s="95" t="str">
        <f>+Template!P3</f>
        <v>Search Gatherer Logs</v>
      </c>
      <c r="AV3" s="95" t="s">
        <v>100</v>
      </c>
      <c r="AW3" s="95" t="str">
        <f>+Template!R3</f>
        <v>Last Boot Time</v>
      </c>
      <c r="AX3" s="95" t="str">
        <f>+Template!S3</f>
        <v>Running Services Check</v>
      </c>
      <c r="AY3" s="95" t="str">
        <f>+Template!T3</f>
        <v>Scheduled Tasks</v>
      </c>
      <c r="AZ3" s="95" t="str">
        <f>+Template!U3</f>
        <v>Running websites en application pools</v>
      </c>
      <c r="BA3" s="95" t="str">
        <f>+Template!V3</f>
        <v>Group Membership Check</v>
      </c>
      <c r="BB3" s="95" t="str">
        <f>+Template!W3</f>
        <v>Backup Status</v>
      </c>
      <c r="BC3" s="95" t="str">
        <f>+Template!X3</f>
        <v>Permissions Check</v>
      </c>
      <c r="BD3" s="95" t="str">
        <f>+Template!Y3</f>
        <v>New Updates</v>
      </c>
      <c r="BE3" s="95" t="str">
        <f>+Template!Z3</f>
        <v>Baseline Settings</v>
      </c>
      <c r="BF3" s="95" t="str">
        <f>+Template!AA3</f>
        <v>Access Check</v>
      </c>
      <c r="BG3" s="95" t="str">
        <f>+Template!AB3</f>
        <v>Missing Security Updates/Service Packs</v>
      </c>
      <c r="BH3" s="95" t="str">
        <f>+Template!AC3</f>
        <v>Policy Compliance</v>
      </c>
      <c r="BI3" s="95" t="str">
        <f>+Template!AD3</f>
        <v>Documentation Check</v>
      </c>
      <c r="BJ3" s="95" t="str">
        <f>+Template!AE3</f>
        <v>SSL Certificates Check</v>
      </c>
      <c r="BK3" s="95" t="str">
        <f>+Template!AF3</f>
        <v>Disaster Recovery Test</v>
      </c>
      <c r="BL3" s="95" t="str">
        <f>+Template!AG3</f>
        <v>Lifecycle Check</v>
      </c>
      <c r="BM3" s="96" t="str">
        <f>+Template!AH3</f>
        <v>Performed by:</v>
      </c>
      <c r="BN3" s="94" t="str">
        <f>+Template!D3</f>
        <v>Quick environment check</v>
      </c>
      <c r="BO3" s="95" t="str">
        <f>+Template!E3</f>
        <v>Health Analyzer Issues</v>
      </c>
      <c r="BP3" s="95" t="str">
        <f>+Template!F3</f>
        <v>Content Database Status</v>
      </c>
      <c r="BQ3" s="95" t="str">
        <f>+Template!G3</f>
        <v>Upgrade Status Servers</v>
      </c>
      <c r="BR3" s="95" t="str">
        <f>+Template!H3</f>
        <v>Upgrade Status Databases</v>
      </c>
      <c r="BS3" s="95" t="str">
        <f>+Template!I3</f>
        <v>Failed Timer Jobs</v>
      </c>
      <c r="BT3" s="95" t="str">
        <f>+Template!J3</f>
        <v>Deployment Status Solutions</v>
      </c>
      <c r="BU3" s="95" t="str">
        <f>+Template!K3</f>
        <v>Content Database Size</v>
      </c>
      <c r="BV3" s="95" t="str">
        <f>+Template!L3</f>
        <v>Service Application Status</v>
      </c>
      <c r="BW3" s="95" t="s">
        <v>98</v>
      </c>
      <c r="BX3" s="95" t="s">
        <v>99</v>
      </c>
      <c r="BY3" s="95" t="str">
        <f>+Template!O3</f>
        <v>Search Topology</v>
      </c>
      <c r="BZ3" s="95" t="str">
        <f>+Template!P3</f>
        <v>Search Gatherer Logs</v>
      </c>
      <c r="CA3" s="95" t="s">
        <v>100</v>
      </c>
      <c r="CB3" s="95" t="str">
        <f>+Template!R3</f>
        <v>Last Boot Time</v>
      </c>
      <c r="CC3" s="95" t="str">
        <f>+Template!S3</f>
        <v>Running Services Check</v>
      </c>
      <c r="CD3" s="95" t="str">
        <f>+Template!T3</f>
        <v>Scheduled Tasks</v>
      </c>
      <c r="CE3" s="95" t="str">
        <f>+Template!U3</f>
        <v>Running websites en application pools</v>
      </c>
      <c r="CF3" s="95" t="str">
        <f>+Template!V3</f>
        <v>Group Membership Check</v>
      </c>
      <c r="CG3" s="95" t="str">
        <f>+Template!W3</f>
        <v>Backup Status</v>
      </c>
      <c r="CH3" s="95" t="str">
        <f>+Template!X3</f>
        <v>Permissions Check</v>
      </c>
      <c r="CI3" s="95" t="str">
        <f>+Template!Y3</f>
        <v>New Updates</v>
      </c>
      <c r="CJ3" s="95" t="str">
        <f>+Template!Z3</f>
        <v>Baseline Settings</v>
      </c>
      <c r="CK3" s="95" t="str">
        <f>+Template!AA3</f>
        <v>Access Check</v>
      </c>
      <c r="CL3" s="95" t="str">
        <f>+Template!AB3</f>
        <v>Missing Security Updates/Service Packs</v>
      </c>
      <c r="CM3" s="95" t="str">
        <f>+Template!AC3</f>
        <v>Policy Compliance</v>
      </c>
      <c r="CN3" s="95" t="str">
        <f>+Template!AD3</f>
        <v>Documentation Check</v>
      </c>
      <c r="CO3" s="95" t="str">
        <f>+Template!AE3</f>
        <v>SSL Certificates Check</v>
      </c>
      <c r="CP3" s="95" t="str">
        <f>+Template!AF3</f>
        <v>Disaster Recovery Test</v>
      </c>
      <c r="CQ3" s="95" t="str">
        <f>+Template!AG3</f>
        <v>Lifecycle Check</v>
      </c>
      <c r="CR3" s="96" t="str">
        <f>+Template!AH3</f>
        <v>Performed by:</v>
      </c>
      <c r="CS3" s="94" t="str">
        <f>+Template!D3</f>
        <v>Quick environment check</v>
      </c>
      <c r="CT3" s="95" t="str">
        <f>+Template!E3</f>
        <v>Health Analyzer Issues</v>
      </c>
      <c r="CU3" s="95" t="str">
        <f>+Template!F3</f>
        <v>Content Database Status</v>
      </c>
      <c r="CV3" s="95" t="str">
        <f>+Template!G3</f>
        <v>Upgrade Status Servers</v>
      </c>
      <c r="CW3" s="95" t="str">
        <f>+Template!H3</f>
        <v>Upgrade Status Databases</v>
      </c>
      <c r="CX3" s="95" t="str">
        <f>+Template!I3</f>
        <v>Failed Timer Jobs</v>
      </c>
      <c r="CY3" s="95" t="str">
        <f>+Template!J3</f>
        <v>Deployment Status Solutions</v>
      </c>
      <c r="CZ3" s="95" t="str">
        <f>+Template!K3</f>
        <v>Content Database Size</v>
      </c>
      <c r="DA3" s="95" t="str">
        <f>+Template!L3</f>
        <v>Service Application Status</v>
      </c>
      <c r="DB3" s="95" t="s">
        <v>98</v>
      </c>
      <c r="DC3" s="95" t="s">
        <v>99</v>
      </c>
      <c r="DD3" s="95" t="str">
        <f>+Template!O3</f>
        <v>Search Topology</v>
      </c>
      <c r="DE3" s="95" t="str">
        <f>+Template!P3</f>
        <v>Search Gatherer Logs</v>
      </c>
      <c r="DF3" s="95" t="s">
        <v>100</v>
      </c>
      <c r="DG3" s="95" t="str">
        <f>+Template!R3</f>
        <v>Last Boot Time</v>
      </c>
      <c r="DH3" s="95" t="str">
        <f>+Template!S3</f>
        <v>Running Services Check</v>
      </c>
      <c r="DI3" s="95" t="str">
        <f>+Template!T3</f>
        <v>Scheduled Tasks</v>
      </c>
      <c r="DJ3" s="95" t="str">
        <f>+Template!U3</f>
        <v>Running websites en application pools</v>
      </c>
      <c r="DK3" s="95" t="str">
        <f>+Template!V3</f>
        <v>Group Membership Check</v>
      </c>
      <c r="DL3" s="95" t="str">
        <f>+Template!W3</f>
        <v>Backup Status</v>
      </c>
      <c r="DM3" s="95" t="str">
        <f>+Template!X3</f>
        <v>Permissions Check</v>
      </c>
      <c r="DN3" s="95" t="str">
        <f>+Template!Y3</f>
        <v>New Updates</v>
      </c>
      <c r="DO3" s="95" t="str">
        <f>+Template!Z3</f>
        <v>Baseline Settings</v>
      </c>
      <c r="DP3" s="95" t="str">
        <f>+Template!AA3</f>
        <v>Access Check</v>
      </c>
      <c r="DQ3" s="95" t="str">
        <f>+Template!AB3</f>
        <v>Missing Security Updates/Service Packs</v>
      </c>
      <c r="DR3" s="95" t="str">
        <f>+Template!AC3</f>
        <v>Policy Compliance</v>
      </c>
      <c r="DS3" s="95" t="str">
        <f>+Template!AD3</f>
        <v>Documentation Check</v>
      </c>
      <c r="DT3" s="95" t="str">
        <f>+Template!AE3</f>
        <v>SSL Certificates Check</v>
      </c>
      <c r="DU3" s="95" t="str">
        <f>+Template!AF3</f>
        <v>Disaster Recovery Test</v>
      </c>
      <c r="DV3" s="95" t="str">
        <f>+Template!AG3</f>
        <v>Lifecycle Check</v>
      </c>
      <c r="DW3" s="96" t="str">
        <f>+Template!AH3</f>
        <v>Performed by:</v>
      </c>
      <c r="DX3" s="125"/>
      <c r="DY3" s="126"/>
      <c r="DZ3" s="126"/>
      <c r="EA3" s="126"/>
    </row>
    <row r="4" spans="1:141" ht="23.25" customHeight="1" thickBot="1" x14ac:dyDescent="0.45">
      <c r="C4" s="97">
        <f>Jaartal</f>
        <v>2020</v>
      </c>
      <c r="D4" s="94">
        <f>+Template!D4</f>
        <v>1</v>
      </c>
      <c r="E4" s="95">
        <f>+Template!E4</f>
        <v>10</v>
      </c>
      <c r="F4" s="95">
        <f>+Template!F4</f>
        <v>11</v>
      </c>
      <c r="G4" s="95">
        <f>+Template!G4</f>
        <v>12</v>
      </c>
      <c r="H4" s="95">
        <f>+Template!H4</f>
        <v>13</v>
      </c>
      <c r="I4" s="95">
        <f>+Template!I4</f>
        <v>14</v>
      </c>
      <c r="J4" s="95">
        <f>+Template!J4</f>
        <v>15</v>
      </c>
      <c r="K4" s="95">
        <f>+Template!K4</f>
        <v>16</v>
      </c>
      <c r="L4" s="95">
        <f>+Template!L4</f>
        <v>17</v>
      </c>
      <c r="M4" s="95">
        <v>18</v>
      </c>
      <c r="N4" s="95">
        <v>19</v>
      </c>
      <c r="O4" s="95">
        <f>+Template!O4</f>
        <v>20</v>
      </c>
      <c r="P4" s="95">
        <f>+Template!P4</f>
        <v>21</v>
      </c>
      <c r="Q4" s="95">
        <v>22</v>
      </c>
      <c r="R4" s="95">
        <f>+Template!R4</f>
        <v>30</v>
      </c>
      <c r="S4" s="95">
        <f>+Template!S4</f>
        <v>31</v>
      </c>
      <c r="T4" s="95">
        <f>+Template!T4</f>
        <v>32</v>
      </c>
      <c r="U4" s="95">
        <f>+Template!U4</f>
        <v>33</v>
      </c>
      <c r="V4" s="95">
        <f>+Template!V4</f>
        <v>34</v>
      </c>
      <c r="W4" s="95">
        <f>+Template!W4</f>
        <v>40</v>
      </c>
      <c r="X4" s="95" t="str">
        <f>+Template!X4</f>
        <v>W01</v>
      </c>
      <c r="Y4" s="95" t="str">
        <f>+Template!Y4</f>
        <v>W02</v>
      </c>
      <c r="Z4" s="95" t="str">
        <f>+Template!Z4</f>
        <v>W03</v>
      </c>
      <c r="AA4" s="95" t="str">
        <f>+Template!AA4</f>
        <v>W04</v>
      </c>
      <c r="AB4" s="95" t="str">
        <f>+Template!AB4</f>
        <v>M01</v>
      </c>
      <c r="AC4" s="95" t="str">
        <f>+Template!AC4</f>
        <v>M02</v>
      </c>
      <c r="AD4" s="95" t="str">
        <f>+Template!AD4</f>
        <v>M03</v>
      </c>
      <c r="AE4" s="95" t="str">
        <f>+Template!AE4</f>
        <v>M04</v>
      </c>
      <c r="AF4" s="95" t="str">
        <f>+Template!AF4</f>
        <v>Q01</v>
      </c>
      <c r="AG4" s="95" t="str">
        <f>+Template!AG4</f>
        <v>Q02</v>
      </c>
      <c r="AH4" s="98"/>
      <c r="AI4" s="94">
        <f>+Template!D4</f>
        <v>1</v>
      </c>
      <c r="AJ4" s="95">
        <f>+Template!E4</f>
        <v>10</v>
      </c>
      <c r="AK4" s="95">
        <f>+Template!F4</f>
        <v>11</v>
      </c>
      <c r="AL4" s="95">
        <f>+Template!G4</f>
        <v>12</v>
      </c>
      <c r="AM4" s="95">
        <f>+Template!H4</f>
        <v>13</v>
      </c>
      <c r="AN4" s="95">
        <f>+Template!I4</f>
        <v>14</v>
      </c>
      <c r="AO4" s="95">
        <f>+Template!J4</f>
        <v>15</v>
      </c>
      <c r="AP4" s="95">
        <f>+Template!K4</f>
        <v>16</v>
      </c>
      <c r="AQ4" s="95">
        <f>+Template!L4</f>
        <v>17</v>
      </c>
      <c r="AR4" s="95">
        <v>18</v>
      </c>
      <c r="AS4" s="95">
        <v>19</v>
      </c>
      <c r="AT4" s="95">
        <f>+Template!O4</f>
        <v>20</v>
      </c>
      <c r="AU4" s="95">
        <f>+Template!P4</f>
        <v>21</v>
      </c>
      <c r="AV4" s="95">
        <v>22</v>
      </c>
      <c r="AW4" s="95">
        <f>+Template!R4</f>
        <v>30</v>
      </c>
      <c r="AX4" s="95">
        <f>+Template!S4</f>
        <v>31</v>
      </c>
      <c r="AY4" s="95">
        <f>+Template!T4</f>
        <v>32</v>
      </c>
      <c r="AZ4" s="95">
        <f>+Template!U4</f>
        <v>33</v>
      </c>
      <c r="BA4" s="95">
        <f>+Template!V4</f>
        <v>34</v>
      </c>
      <c r="BB4" s="95">
        <f>+Template!W4</f>
        <v>40</v>
      </c>
      <c r="BC4" s="95" t="str">
        <f>+Template!X4</f>
        <v>W01</v>
      </c>
      <c r="BD4" s="95" t="str">
        <f>+Template!Y4</f>
        <v>W02</v>
      </c>
      <c r="BE4" s="95" t="str">
        <f>+Template!Z4</f>
        <v>W03</v>
      </c>
      <c r="BF4" s="95" t="str">
        <f>+Template!AA4</f>
        <v>W04</v>
      </c>
      <c r="BG4" s="95" t="str">
        <f>+Template!AB4</f>
        <v>M01</v>
      </c>
      <c r="BH4" s="95" t="str">
        <f>+Template!AC4</f>
        <v>M02</v>
      </c>
      <c r="BI4" s="95" t="str">
        <f>+Template!AD4</f>
        <v>M03</v>
      </c>
      <c r="BJ4" s="95" t="str">
        <f>+Template!AE4</f>
        <v>M04</v>
      </c>
      <c r="BK4" s="95" t="str">
        <f>+Template!AF4</f>
        <v>Q01</v>
      </c>
      <c r="BL4" s="95" t="str">
        <f>+Template!AG4</f>
        <v>Q02</v>
      </c>
      <c r="BM4" s="98"/>
      <c r="BN4" s="94">
        <f>+Template!D4</f>
        <v>1</v>
      </c>
      <c r="BO4" s="95">
        <f>+Template!E4</f>
        <v>10</v>
      </c>
      <c r="BP4" s="95">
        <f>+Template!F4</f>
        <v>11</v>
      </c>
      <c r="BQ4" s="95">
        <f>+Template!G4</f>
        <v>12</v>
      </c>
      <c r="BR4" s="95">
        <f>+Template!H4</f>
        <v>13</v>
      </c>
      <c r="BS4" s="95">
        <f>+Template!I4</f>
        <v>14</v>
      </c>
      <c r="BT4" s="95">
        <f>+Template!J4</f>
        <v>15</v>
      </c>
      <c r="BU4" s="95">
        <f>+Template!K4</f>
        <v>16</v>
      </c>
      <c r="BV4" s="95">
        <f>+Template!L4</f>
        <v>17</v>
      </c>
      <c r="BW4" s="95">
        <v>18</v>
      </c>
      <c r="BX4" s="95">
        <v>19</v>
      </c>
      <c r="BY4" s="95">
        <f>+Template!O4</f>
        <v>20</v>
      </c>
      <c r="BZ4" s="95">
        <f>+Template!P4</f>
        <v>21</v>
      </c>
      <c r="CA4" s="95">
        <v>22</v>
      </c>
      <c r="CB4" s="95">
        <f>+Template!R4</f>
        <v>30</v>
      </c>
      <c r="CC4" s="95">
        <f>+Template!S4</f>
        <v>31</v>
      </c>
      <c r="CD4" s="95">
        <f>+Template!T4</f>
        <v>32</v>
      </c>
      <c r="CE4" s="95">
        <f>+Template!U4</f>
        <v>33</v>
      </c>
      <c r="CF4" s="95">
        <f>+Template!V4</f>
        <v>34</v>
      </c>
      <c r="CG4" s="95">
        <f>+Template!W4</f>
        <v>40</v>
      </c>
      <c r="CH4" s="95" t="str">
        <f>+Template!X4</f>
        <v>W01</v>
      </c>
      <c r="CI4" s="95" t="str">
        <f>+Template!Y4</f>
        <v>W02</v>
      </c>
      <c r="CJ4" s="95" t="str">
        <f>+Template!Z4</f>
        <v>W03</v>
      </c>
      <c r="CK4" s="95" t="str">
        <f>+Template!AA4</f>
        <v>W04</v>
      </c>
      <c r="CL4" s="95" t="str">
        <f>+Template!AB4</f>
        <v>M01</v>
      </c>
      <c r="CM4" s="95" t="str">
        <f>+Template!AC4</f>
        <v>M02</v>
      </c>
      <c r="CN4" s="95" t="str">
        <f>+Template!AD4</f>
        <v>M03</v>
      </c>
      <c r="CO4" s="95" t="str">
        <f>+Template!AE4</f>
        <v>M04</v>
      </c>
      <c r="CP4" s="95" t="str">
        <f>+Template!AF4</f>
        <v>Q01</v>
      </c>
      <c r="CQ4" s="95" t="str">
        <f>+Template!AG4</f>
        <v>Q02</v>
      </c>
      <c r="CR4" s="98"/>
      <c r="CS4" s="94">
        <f>+Template!D4</f>
        <v>1</v>
      </c>
      <c r="CT4" s="95">
        <f>+Template!E4</f>
        <v>10</v>
      </c>
      <c r="CU4" s="95">
        <f>+Template!F4</f>
        <v>11</v>
      </c>
      <c r="CV4" s="95">
        <f>+Template!G4</f>
        <v>12</v>
      </c>
      <c r="CW4" s="95">
        <f>+Template!H4</f>
        <v>13</v>
      </c>
      <c r="CX4" s="95">
        <f>+Template!I4</f>
        <v>14</v>
      </c>
      <c r="CY4" s="95">
        <f>+Template!J4</f>
        <v>15</v>
      </c>
      <c r="CZ4" s="95">
        <f>+Template!K4</f>
        <v>16</v>
      </c>
      <c r="DA4" s="95">
        <f>+Template!L4</f>
        <v>17</v>
      </c>
      <c r="DB4" s="95">
        <v>18</v>
      </c>
      <c r="DC4" s="95">
        <v>19</v>
      </c>
      <c r="DD4" s="95">
        <f>+Template!O4</f>
        <v>20</v>
      </c>
      <c r="DE4" s="95">
        <f>+Template!P4</f>
        <v>21</v>
      </c>
      <c r="DF4" s="95">
        <v>22</v>
      </c>
      <c r="DG4" s="95">
        <f>+Template!R4</f>
        <v>30</v>
      </c>
      <c r="DH4" s="95">
        <f>+Template!S4</f>
        <v>31</v>
      </c>
      <c r="DI4" s="95">
        <f>+Template!T4</f>
        <v>32</v>
      </c>
      <c r="DJ4" s="95">
        <f>+Template!U4</f>
        <v>33</v>
      </c>
      <c r="DK4" s="95">
        <f>+Template!V4</f>
        <v>34</v>
      </c>
      <c r="DL4" s="95">
        <f>+Template!W4</f>
        <v>40</v>
      </c>
      <c r="DM4" s="95" t="str">
        <f>+Template!X4</f>
        <v>W01</v>
      </c>
      <c r="DN4" s="95" t="str">
        <f>+Template!Y4</f>
        <v>W02</v>
      </c>
      <c r="DO4" s="95" t="str">
        <f>+Template!Z4</f>
        <v>W03</v>
      </c>
      <c r="DP4" s="95" t="str">
        <f>+Template!AA4</f>
        <v>W04</v>
      </c>
      <c r="DQ4" s="95" t="str">
        <f>+Template!AB4</f>
        <v>M01</v>
      </c>
      <c r="DR4" s="95" t="str">
        <f>+Template!AC4</f>
        <v>M02</v>
      </c>
      <c r="DS4" s="95" t="str">
        <f>+Template!AD4</f>
        <v>M03</v>
      </c>
      <c r="DT4" s="95" t="str">
        <f>+Template!AE4</f>
        <v>M04</v>
      </c>
      <c r="DU4" s="95" t="str">
        <f>+Template!AF4</f>
        <v>Q01</v>
      </c>
      <c r="DV4" s="95" t="str">
        <f>+Template!AG4</f>
        <v>Q02</v>
      </c>
      <c r="DW4" s="98"/>
      <c r="DX4" s="125"/>
      <c r="DY4" s="126"/>
      <c r="DZ4" s="126"/>
      <c r="EA4" s="126"/>
    </row>
    <row r="5" spans="1:141" x14ac:dyDescent="0.4">
      <c r="A5" s="74">
        <f>WEEKDAY(C5)</f>
        <v>4</v>
      </c>
      <c r="B5" s="74">
        <v>1</v>
      </c>
      <c r="C5" s="127">
        <f>DATE(Jaartal,January!$B$3,January!$B5)</f>
        <v>43831</v>
      </c>
      <c r="D5" s="100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2"/>
      <c r="AI5" s="100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2"/>
      <c r="BN5" s="100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2"/>
      <c r="CS5" s="100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3"/>
      <c r="DJ5" s="103"/>
      <c r="DK5" s="103"/>
      <c r="DL5" s="103"/>
      <c r="DM5" s="103"/>
      <c r="DN5" s="103"/>
      <c r="DO5" s="103"/>
      <c r="DP5" s="103"/>
      <c r="DQ5" s="103"/>
      <c r="DR5" s="103"/>
      <c r="DS5" s="103"/>
      <c r="DT5" s="103"/>
      <c r="DU5" s="103"/>
      <c r="DV5" s="103"/>
      <c r="DW5" s="102"/>
      <c r="DX5" s="128"/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</row>
    <row r="6" spans="1:141" x14ac:dyDescent="0.4">
      <c r="A6" s="74">
        <f t="shared" ref="A6:A35" si="0">WEEKDAY(C6)</f>
        <v>5</v>
      </c>
      <c r="B6" s="74">
        <v>2</v>
      </c>
      <c r="C6" s="127">
        <f>DATE(Jaartal,January!$B$3,January!$B6)</f>
        <v>43832</v>
      </c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6"/>
      <c r="AI6" s="104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6"/>
      <c r="BN6" s="104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6"/>
      <c r="CS6" s="104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6"/>
      <c r="DX6" s="128"/>
      <c r="DY6" s="128"/>
      <c r="DZ6" s="128"/>
      <c r="EA6" s="128"/>
      <c r="EB6" s="128"/>
      <c r="EC6" s="128"/>
      <c r="ED6" s="128"/>
      <c r="EE6" s="128"/>
      <c r="EF6" s="128"/>
      <c r="EG6" s="128"/>
      <c r="EH6" s="128"/>
      <c r="EI6" s="128"/>
      <c r="EJ6" s="128"/>
      <c r="EK6" s="128"/>
    </row>
    <row r="7" spans="1:141" x14ac:dyDescent="0.4">
      <c r="A7" s="74">
        <f t="shared" si="0"/>
        <v>6</v>
      </c>
      <c r="B7" s="74">
        <v>3</v>
      </c>
      <c r="C7" s="127">
        <f>DATE(Jaartal,January!$B$3,January!$B7)</f>
        <v>43833</v>
      </c>
      <c r="D7" s="104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6"/>
      <c r="AI7" s="104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6"/>
      <c r="BN7" s="104"/>
      <c r="BO7" s="105"/>
      <c r="BP7" s="105"/>
      <c r="BQ7" s="105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6"/>
      <c r="CS7" s="104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6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</row>
    <row r="8" spans="1:141" x14ac:dyDescent="0.4">
      <c r="A8" s="74">
        <f t="shared" si="0"/>
        <v>7</v>
      </c>
      <c r="B8" s="74">
        <v>4</v>
      </c>
      <c r="C8" s="127">
        <f>DATE(Jaartal,January!$B$3,January!$B8)</f>
        <v>43834</v>
      </c>
      <c r="D8" s="104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6"/>
      <c r="AI8" s="104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6"/>
      <c r="BN8" s="104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6"/>
      <c r="CS8" s="104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/>
      <c r="DT8" s="107"/>
      <c r="DU8" s="107"/>
      <c r="DV8" s="107"/>
      <c r="DW8" s="106"/>
      <c r="DX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</row>
    <row r="9" spans="1:141" x14ac:dyDescent="0.4">
      <c r="A9" s="74">
        <f t="shared" si="0"/>
        <v>1</v>
      </c>
      <c r="B9" s="74">
        <v>5</v>
      </c>
      <c r="C9" s="127">
        <f>DATE(Jaartal,January!$B$3,January!$B9)</f>
        <v>43835</v>
      </c>
      <c r="D9" s="104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6"/>
      <c r="AI9" s="104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6"/>
      <c r="BN9" s="104"/>
      <c r="BO9" s="105"/>
      <c r="BP9" s="105"/>
      <c r="BQ9" s="105"/>
      <c r="BR9" s="105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6"/>
      <c r="CS9" s="104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5"/>
      <c r="DH9" s="105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6"/>
      <c r="DX9" s="128"/>
      <c r="DY9" s="128"/>
      <c r="DZ9" s="128"/>
      <c r="EA9" s="128"/>
      <c r="EB9" s="128"/>
      <c r="EC9" s="128"/>
      <c r="ED9" s="128"/>
      <c r="EE9" s="128"/>
      <c r="EF9" s="128"/>
      <c r="EG9" s="128"/>
      <c r="EH9" s="128"/>
      <c r="EI9" s="128"/>
      <c r="EJ9" s="128"/>
      <c r="EK9" s="128"/>
    </row>
    <row r="10" spans="1:141" x14ac:dyDescent="0.4">
      <c r="A10" s="74">
        <f t="shared" si="0"/>
        <v>2</v>
      </c>
      <c r="B10" s="74">
        <v>6</v>
      </c>
      <c r="C10" s="127">
        <f>DATE(Jaartal,January!$B$3,January!$B10)</f>
        <v>43836</v>
      </c>
      <c r="D10" s="104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6"/>
      <c r="AI10" s="104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6"/>
      <c r="BN10" s="104"/>
      <c r="BO10" s="105"/>
      <c r="BP10" s="105"/>
      <c r="BQ10" s="105"/>
      <c r="BR10" s="105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6"/>
      <c r="CS10" s="104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5"/>
      <c r="DH10" s="105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6"/>
      <c r="DX10" s="128"/>
      <c r="DY10" s="128"/>
      <c r="DZ10" s="128"/>
      <c r="EA10" s="128"/>
      <c r="EB10" s="128"/>
      <c r="EC10" s="128"/>
      <c r="ED10" s="128"/>
      <c r="EE10" s="128"/>
      <c r="EF10" s="128"/>
      <c r="EG10" s="128"/>
      <c r="EH10" s="128"/>
      <c r="EI10" s="128"/>
      <c r="EJ10" s="128"/>
      <c r="EK10" s="128"/>
    </row>
    <row r="11" spans="1:141" x14ac:dyDescent="0.4">
      <c r="A11" s="74">
        <f t="shared" si="0"/>
        <v>3</v>
      </c>
      <c r="B11" s="74">
        <v>7</v>
      </c>
      <c r="C11" s="127">
        <f>DATE(Jaartal,January!$B$3,January!$B11)</f>
        <v>43837</v>
      </c>
      <c r="D11" s="104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6"/>
      <c r="AI11" s="104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6"/>
      <c r="BN11" s="104"/>
      <c r="BO11" s="105"/>
      <c r="BP11" s="105"/>
      <c r="BQ11" s="105"/>
      <c r="BR11" s="105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6"/>
      <c r="CS11" s="104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5"/>
      <c r="DH11" s="105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6"/>
      <c r="DX11" s="128"/>
      <c r="DY11" s="128"/>
      <c r="DZ11" s="128"/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</row>
    <row r="12" spans="1:141" x14ac:dyDescent="0.4">
      <c r="A12" s="74">
        <f t="shared" si="0"/>
        <v>4</v>
      </c>
      <c r="B12" s="74">
        <v>8</v>
      </c>
      <c r="C12" s="127">
        <f>DATE(Jaartal,January!$B$3,January!$B12)</f>
        <v>43838</v>
      </c>
      <c r="D12" s="104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6"/>
      <c r="AI12" s="104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6"/>
      <c r="BN12" s="104"/>
      <c r="BO12" s="105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6"/>
      <c r="CS12" s="104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5"/>
      <c r="DH12" s="105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6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</row>
    <row r="13" spans="1:141" x14ac:dyDescent="0.4">
      <c r="A13" s="74">
        <f t="shared" si="0"/>
        <v>5</v>
      </c>
      <c r="B13" s="74">
        <v>9</v>
      </c>
      <c r="C13" s="127">
        <f>DATE(Jaartal,January!$B$3,January!$B13)</f>
        <v>43839</v>
      </c>
      <c r="D13" s="104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6"/>
      <c r="AI13" s="104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6"/>
      <c r="BN13" s="104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6"/>
      <c r="CS13" s="104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5"/>
      <c r="DH13" s="105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6"/>
      <c r="DX13" s="128"/>
      <c r="DY13" s="128"/>
      <c r="DZ13" s="128"/>
      <c r="EA13" s="128"/>
      <c r="EB13" s="128"/>
      <c r="EC13" s="128"/>
      <c r="ED13" s="128"/>
      <c r="EE13" s="128"/>
      <c r="EF13" s="128"/>
      <c r="EG13" s="128"/>
      <c r="EH13" s="128"/>
      <c r="EI13" s="128"/>
      <c r="EJ13" s="128"/>
      <c r="EK13" s="128"/>
    </row>
    <row r="14" spans="1:141" x14ac:dyDescent="0.4">
      <c r="A14" s="74">
        <f t="shared" si="0"/>
        <v>6</v>
      </c>
      <c r="B14" s="74">
        <v>10</v>
      </c>
      <c r="C14" s="127">
        <f>DATE(Jaartal,January!$B$3,January!$B14)</f>
        <v>43840</v>
      </c>
      <c r="D14" s="104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6"/>
      <c r="AI14" s="104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6"/>
      <c r="BN14" s="104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6"/>
      <c r="CS14" s="104"/>
      <c r="CT14" s="105"/>
      <c r="CU14" s="105"/>
      <c r="CV14" s="105"/>
      <c r="CW14" s="105"/>
      <c r="CX14" s="105"/>
      <c r="CY14" s="105"/>
      <c r="CZ14" s="105"/>
      <c r="DA14" s="105"/>
      <c r="DB14" s="105"/>
      <c r="DC14" s="105"/>
      <c r="DD14" s="105"/>
      <c r="DE14" s="105"/>
      <c r="DF14" s="105"/>
      <c r="DG14" s="105"/>
      <c r="DH14" s="105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6"/>
      <c r="DX14" s="128"/>
      <c r="DY14" s="128"/>
      <c r="DZ14" s="128"/>
      <c r="EA14" s="128"/>
      <c r="EB14" s="128"/>
      <c r="EC14" s="128"/>
      <c r="ED14" s="128"/>
      <c r="EE14" s="128"/>
      <c r="EF14" s="128"/>
      <c r="EG14" s="128"/>
      <c r="EH14" s="128"/>
      <c r="EI14" s="128"/>
      <c r="EJ14" s="128"/>
      <c r="EK14" s="128"/>
    </row>
    <row r="15" spans="1:141" x14ac:dyDescent="0.4">
      <c r="A15" s="74">
        <f t="shared" si="0"/>
        <v>7</v>
      </c>
      <c r="B15" s="74">
        <v>11</v>
      </c>
      <c r="C15" s="127">
        <f>DATE(Jaartal,January!$B$3,January!$B15)</f>
        <v>43841</v>
      </c>
      <c r="D15" s="104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6"/>
      <c r="AI15" s="104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6"/>
      <c r="BN15" s="104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6"/>
      <c r="CS15" s="104"/>
      <c r="CT15" s="105"/>
      <c r="CU15" s="105"/>
      <c r="CV15" s="105"/>
      <c r="CW15" s="105"/>
      <c r="CX15" s="105"/>
      <c r="CY15" s="105"/>
      <c r="CZ15" s="105"/>
      <c r="DA15" s="105"/>
      <c r="DB15" s="105"/>
      <c r="DC15" s="105"/>
      <c r="DD15" s="105"/>
      <c r="DE15" s="105"/>
      <c r="DF15" s="105"/>
      <c r="DG15" s="105"/>
      <c r="DH15" s="105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6"/>
      <c r="DX15" s="128"/>
      <c r="DY15" s="128"/>
      <c r="DZ15" s="128"/>
      <c r="EA15" s="128"/>
      <c r="EB15" s="128"/>
      <c r="EC15" s="128"/>
      <c r="ED15" s="128"/>
      <c r="EE15" s="128"/>
      <c r="EF15" s="128"/>
      <c r="EG15" s="128"/>
      <c r="EH15" s="128"/>
      <c r="EI15" s="128"/>
      <c r="EJ15" s="128"/>
      <c r="EK15" s="128"/>
    </row>
    <row r="16" spans="1:141" x14ac:dyDescent="0.4">
      <c r="A16" s="74">
        <f t="shared" si="0"/>
        <v>1</v>
      </c>
      <c r="B16" s="74">
        <v>12</v>
      </c>
      <c r="C16" s="127">
        <f>DATE(Jaartal,January!$B$3,January!$B16)</f>
        <v>43842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6"/>
      <c r="AI16" s="104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6"/>
      <c r="BN16" s="104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6"/>
      <c r="DX16" s="128"/>
      <c r="DY16" s="128"/>
      <c r="DZ16" s="128"/>
      <c r="EA16" s="128"/>
      <c r="EB16" s="128"/>
      <c r="EC16" s="128"/>
      <c r="ED16" s="128"/>
      <c r="EE16" s="128"/>
      <c r="EF16" s="128"/>
      <c r="EG16" s="128"/>
      <c r="EH16" s="128"/>
      <c r="EI16" s="128"/>
      <c r="EJ16" s="128"/>
      <c r="EK16" s="128"/>
    </row>
    <row r="17" spans="1:141" x14ac:dyDescent="0.4">
      <c r="A17" s="74">
        <f t="shared" si="0"/>
        <v>2</v>
      </c>
      <c r="B17" s="74">
        <v>13</v>
      </c>
      <c r="C17" s="127">
        <f>DATE(Jaartal,January!$B$3,January!$B17)</f>
        <v>43843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6"/>
      <c r="AI17" s="104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6"/>
      <c r="BN17" s="104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6"/>
      <c r="CS17" s="104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6"/>
      <c r="DX17" s="128"/>
      <c r="DY17" s="128"/>
      <c r="DZ17" s="128"/>
      <c r="EA17" s="128"/>
      <c r="EB17" s="128"/>
      <c r="EC17" s="128"/>
      <c r="ED17" s="128"/>
      <c r="EE17" s="128"/>
      <c r="EF17" s="128"/>
      <c r="EG17" s="128"/>
      <c r="EH17" s="128"/>
      <c r="EI17" s="128"/>
      <c r="EJ17" s="128"/>
      <c r="EK17" s="128"/>
    </row>
    <row r="18" spans="1:141" x14ac:dyDescent="0.4">
      <c r="A18" s="74">
        <f t="shared" si="0"/>
        <v>3</v>
      </c>
      <c r="B18" s="74">
        <v>14</v>
      </c>
      <c r="C18" s="127">
        <f>DATE(Jaartal,January!$B$3,January!$B18)</f>
        <v>43844</v>
      </c>
      <c r="D18" s="104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6"/>
      <c r="AI18" s="104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6"/>
      <c r="BN18" s="104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6"/>
      <c r="CS18" s="104"/>
      <c r="CT18" s="105"/>
      <c r="CU18" s="105"/>
      <c r="CV18" s="105"/>
      <c r="CW18" s="105"/>
      <c r="CX18" s="105"/>
      <c r="CY18" s="105"/>
      <c r="CZ18" s="105"/>
      <c r="DA18" s="105"/>
      <c r="DB18" s="105"/>
      <c r="DC18" s="105"/>
      <c r="DD18" s="105"/>
      <c r="DE18" s="105"/>
      <c r="DF18" s="105"/>
      <c r="DG18" s="105"/>
      <c r="DH18" s="105"/>
      <c r="DI18" s="107"/>
      <c r="DJ18" s="107"/>
      <c r="DK18" s="107"/>
      <c r="DL18" s="107"/>
      <c r="DM18" s="107"/>
      <c r="DN18" s="107"/>
      <c r="DO18" s="107"/>
      <c r="DP18" s="107"/>
      <c r="DQ18" s="107"/>
      <c r="DR18" s="107"/>
      <c r="DS18" s="107"/>
      <c r="DT18" s="107"/>
      <c r="DU18" s="107"/>
      <c r="DV18" s="107"/>
      <c r="DW18" s="106"/>
      <c r="DX18" s="128"/>
      <c r="DY18" s="128"/>
      <c r="DZ18" s="128"/>
      <c r="EA18" s="128"/>
      <c r="EB18" s="128"/>
      <c r="EC18" s="128"/>
      <c r="ED18" s="128"/>
      <c r="EE18" s="128"/>
      <c r="EF18" s="128"/>
      <c r="EG18" s="128"/>
      <c r="EH18" s="128"/>
      <c r="EI18" s="128"/>
      <c r="EJ18" s="128"/>
      <c r="EK18" s="128"/>
    </row>
    <row r="19" spans="1:141" x14ac:dyDescent="0.4">
      <c r="A19" s="74">
        <f t="shared" si="0"/>
        <v>4</v>
      </c>
      <c r="B19" s="74">
        <v>15</v>
      </c>
      <c r="C19" s="127">
        <f>DATE(Jaartal,January!$B$3,January!$B19)</f>
        <v>43845</v>
      </c>
      <c r="D19" s="104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6"/>
      <c r="AI19" s="104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6"/>
      <c r="BN19" s="104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6"/>
      <c r="CS19" s="104"/>
      <c r="CT19" s="105"/>
      <c r="CU19" s="105"/>
      <c r="CV19" s="105"/>
      <c r="CW19" s="105"/>
      <c r="CX19" s="105"/>
      <c r="CY19" s="105"/>
      <c r="CZ19" s="105"/>
      <c r="DA19" s="105"/>
      <c r="DB19" s="105"/>
      <c r="DC19" s="105"/>
      <c r="DD19" s="105"/>
      <c r="DE19" s="105"/>
      <c r="DF19" s="105"/>
      <c r="DG19" s="105"/>
      <c r="DH19" s="105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6"/>
      <c r="DX19" s="128"/>
      <c r="DY19" s="128"/>
      <c r="DZ19" s="128"/>
      <c r="EA19" s="128"/>
      <c r="EB19" s="128"/>
      <c r="EC19" s="128"/>
      <c r="ED19" s="128"/>
      <c r="EE19" s="128"/>
      <c r="EF19" s="128"/>
      <c r="EG19" s="128"/>
      <c r="EH19" s="128"/>
      <c r="EI19" s="128"/>
      <c r="EJ19" s="128"/>
      <c r="EK19" s="128"/>
    </row>
    <row r="20" spans="1:141" x14ac:dyDescent="0.4">
      <c r="A20" s="74">
        <f t="shared" si="0"/>
        <v>5</v>
      </c>
      <c r="B20" s="74">
        <v>16</v>
      </c>
      <c r="C20" s="127">
        <f>DATE(Jaartal,January!$B$3,January!$B20)</f>
        <v>43846</v>
      </c>
      <c r="D20" s="104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6"/>
      <c r="AI20" s="104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6"/>
      <c r="BN20" s="104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6"/>
      <c r="CS20" s="104"/>
      <c r="CT20" s="105"/>
      <c r="CU20" s="105"/>
      <c r="CV20" s="105"/>
      <c r="CW20" s="105"/>
      <c r="CX20" s="105"/>
      <c r="CY20" s="105"/>
      <c r="CZ20" s="105"/>
      <c r="DA20" s="105"/>
      <c r="DB20" s="105"/>
      <c r="DC20" s="105"/>
      <c r="DD20" s="105"/>
      <c r="DE20" s="105"/>
      <c r="DF20" s="105"/>
      <c r="DG20" s="105"/>
      <c r="DH20" s="105"/>
      <c r="DI20" s="107"/>
      <c r="DJ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U20" s="107"/>
      <c r="DV20" s="107"/>
      <c r="DW20" s="106"/>
      <c r="DX20" s="128"/>
      <c r="DY20" s="128"/>
      <c r="DZ20" s="128"/>
      <c r="EA20" s="128"/>
      <c r="EB20" s="128"/>
      <c r="EC20" s="128"/>
      <c r="ED20" s="128"/>
      <c r="EE20" s="128"/>
      <c r="EF20" s="128"/>
      <c r="EG20" s="128"/>
      <c r="EH20" s="128"/>
      <c r="EI20" s="128"/>
      <c r="EJ20" s="128"/>
      <c r="EK20" s="128"/>
    </row>
    <row r="21" spans="1:141" x14ac:dyDescent="0.4">
      <c r="A21" s="74">
        <f t="shared" si="0"/>
        <v>6</v>
      </c>
      <c r="B21" s="74">
        <v>17</v>
      </c>
      <c r="C21" s="127">
        <f>DATE(Jaartal,January!$B$3,January!$B21)</f>
        <v>43847</v>
      </c>
      <c r="D21" s="104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6"/>
      <c r="AI21" s="104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6"/>
      <c r="BN21" s="104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6"/>
      <c r="CS21" s="104"/>
      <c r="CT21" s="105"/>
      <c r="CU21" s="105"/>
      <c r="CV21" s="105"/>
      <c r="CW21" s="105"/>
      <c r="CX21" s="105"/>
      <c r="CY21" s="105"/>
      <c r="CZ21" s="105"/>
      <c r="DA21" s="105"/>
      <c r="DB21" s="105"/>
      <c r="DC21" s="105"/>
      <c r="DD21" s="105"/>
      <c r="DE21" s="105"/>
      <c r="DF21" s="105"/>
      <c r="DG21" s="105"/>
      <c r="DH21" s="105"/>
      <c r="DI21" s="107"/>
      <c r="DJ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U21" s="107"/>
      <c r="DV21" s="107"/>
      <c r="DW21" s="106"/>
      <c r="DX21" s="128"/>
      <c r="DY21" s="128"/>
      <c r="DZ21" s="128"/>
      <c r="EA21" s="128"/>
      <c r="EB21" s="128"/>
      <c r="EC21" s="128"/>
      <c r="ED21" s="128"/>
      <c r="EE21" s="128"/>
      <c r="EF21" s="128"/>
      <c r="EG21" s="128"/>
      <c r="EH21" s="128"/>
      <c r="EI21" s="128"/>
      <c r="EJ21" s="128"/>
      <c r="EK21" s="128"/>
    </row>
    <row r="22" spans="1:141" x14ac:dyDescent="0.4">
      <c r="A22" s="74">
        <f t="shared" si="0"/>
        <v>7</v>
      </c>
      <c r="B22" s="74">
        <v>18</v>
      </c>
      <c r="C22" s="127">
        <f>DATE(Jaartal,January!$B$3,January!$B22)</f>
        <v>43848</v>
      </c>
      <c r="D22" s="104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6"/>
      <c r="AI22" s="104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6"/>
      <c r="BN22" s="104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6"/>
      <c r="CS22" s="104"/>
      <c r="CT22" s="105"/>
      <c r="CU22" s="105"/>
      <c r="CV22" s="105"/>
      <c r="CW22" s="105"/>
      <c r="CX22" s="105"/>
      <c r="CY22" s="105"/>
      <c r="CZ22" s="105"/>
      <c r="DA22" s="105"/>
      <c r="DB22" s="105"/>
      <c r="DC22" s="105"/>
      <c r="DD22" s="105"/>
      <c r="DE22" s="105"/>
      <c r="DF22" s="105"/>
      <c r="DG22" s="105"/>
      <c r="DH22" s="105"/>
      <c r="DI22" s="107"/>
      <c r="DJ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U22" s="107"/>
      <c r="DV22" s="107"/>
      <c r="DW22" s="106"/>
      <c r="DX22" s="128"/>
      <c r="DY22" s="128"/>
      <c r="DZ22" s="128"/>
      <c r="EA22" s="128"/>
      <c r="EB22" s="128"/>
      <c r="EC22" s="128"/>
      <c r="ED22" s="128"/>
      <c r="EE22" s="128"/>
      <c r="EF22" s="128"/>
      <c r="EG22" s="128"/>
      <c r="EH22" s="128"/>
      <c r="EI22" s="128"/>
      <c r="EJ22" s="128"/>
      <c r="EK22" s="128"/>
    </row>
    <row r="23" spans="1:141" x14ac:dyDescent="0.4">
      <c r="A23" s="74">
        <f t="shared" si="0"/>
        <v>1</v>
      </c>
      <c r="B23" s="74">
        <v>19</v>
      </c>
      <c r="C23" s="127">
        <f>DATE(Jaartal,January!$B$3,January!$B23)</f>
        <v>43849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6"/>
      <c r="AI23" s="104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6"/>
      <c r="BN23" s="104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7"/>
      <c r="CE23" s="107"/>
      <c r="CF23" s="107"/>
      <c r="CG23" s="107"/>
      <c r="CH23" s="107"/>
      <c r="CI23" s="107"/>
      <c r="CJ23" s="107"/>
      <c r="CK23" s="107"/>
      <c r="CL23" s="107"/>
      <c r="CM23" s="107"/>
      <c r="CN23" s="107"/>
      <c r="CO23" s="107"/>
      <c r="CP23" s="107"/>
      <c r="CQ23" s="107"/>
      <c r="CR23" s="106"/>
      <c r="CS23" s="104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5"/>
      <c r="DH23" s="105"/>
      <c r="DI23" s="107"/>
      <c r="DJ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U23" s="107"/>
      <c r="DV23" s="107"/>
      <c r="DW23" s="106"/>
      <c r="DX23" s="128"/>
      <c r="DY23" s="128"/>
      <c r="DZ23" s="128"/>
      <c r="EA23" s="128"/>
      <c r="EB23" s="128"/>
      <c r="EC23" s="128"/>
      <c r="ED23" s="128"/>
      <c r="EE23" s="128"/>
      <c r="EF23" s="128"/>
      <c r="EG23" s="128"/>
      <c r="EH23" s="128"/>
      <c r="EI23" s="128"/>
      <c r="EJ23" s="128"/>
      <c r="EK23" s="128"/>
    </row>
    <row r="24" spans="1:141" x14ac:dyDescent="0.4">
      <c r="A24" s="74">
        <f t="shared" si="0"/>
        <v>2</v>
      </c>
      <c r="B24" s="74">
        <v>20</v>
      </c>
      <c r="C24" s="127">
        <f>DATE(Jaartal,January!$B$3,January!$B24)</f>
        <v>43850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6"/>
      <c r="AI24" s="104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6"/>
      <c r="BN24" s="104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6"/>
      <c r="DX24" s="128"/>
      <c r="DY24" s="128"/>
      <c r="DZ24" s="128"/>
      <c r="EA24" s="128"/>
      <c r="EB24" s="128"/>
      <c r="EC24" s="128"/>
      <c r="ED24" s="128"/>
      <c r="EE24" s="128"/>
      <c r="EF24" s="128"/>
      <c r="EG24" s="128"/>
      <c r="EH24" s="128"/>
      <c r="EI24" s="128"/>
      <c r="EJ24" s="128"/>
      <c r="EK24" s="128"/>
    </row>
    <row r="25" spans="1:141" x14ac:dyDescent="0.4">
      <c r="A25" s="74">
        <f t="shared" si="0"/>
        <v>3</v>
      </c>
      <c r="B25" s="74">
        <v>21</v>
      </c>
      <c r="C25" s="127">
        <f>DATE(Jaartal,January!$B$3,January!$B25)</f>
        <v>43851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6"/>
      <c r="AI25" s="104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6"/>
      <c r="BN25" s="104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U25" s="107"/>
      <c r="DV25" s="107"/>
      <c r="DW25" s="106"/>
      <c r="DX25" s="128"/>
      <c r="DY25" s="128"/>
      <c r="DZ25" s="128"/>
      <c r="EA25" s="128"/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</row>
    <row r="26" spans="1:141" x14ac:dyDescent="0.4">
      <c r="A26" s="74">
        <f t="shared" si="0"/>
        <v>4</v>
      </c>
      <c r="B26" s="74">
        <v>22</v>
      </c>
      <c r="C26" s="127">
        <f>DATE(Jaartal,January!$B$3,January!$B26)</f>
        <v>43852</v>
      </c>
      <c r="D26" s="104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6"/>
      <c r="AI26" s="104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6"/>
      <c r="BN26" s="104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6"/>
      <c r="CS26" s="104"/>
      <c r="CT26" s="105"/>
      <c r="CU26" s="105"/>
      <c r="CV26" s="105"/>
      <c r="CW26" s="105"/>
      <c r="CX26" s="105"/>
      <c r="CY26" s="105"/>
      <c r="CZ26" s="105"/>
      <c r="DA26" s="105"/>
      <c r="DB26" s="105"/>
      <c r="DC26" s="105"/>
      <c r="DD26" s="105"/>
      <c r="DE26" s="105"/>
      <c r="DF26" s="105"/>
      <c r="DG26" s="105"/>
      <c r="DH26" s="105"/>
      <c r="DI26" s="107"/>
      <c r="DJ26" s="107"/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U26" s="107"/>
      <c r="DV26" s="107"/>
      <c r="DW26" s="106"/>
      <c r="DX26" s="128"/>
      <c r="DY26" s="128"/>
      <c r="DZ26" s="128"/>
      <c r="EA26" s="128"/>
      <c r="EB26" s="128"/>
      <c r="EC26" s="128"/>
      <c r="ED26" s="128"/>
      <c r="EE26" s="128"/>
      <c r="EF26" s="128"/>
      <c r="EG26" s="128"/>
      <c r="EH26" s="128"/>
      <c r="EI26" s="128"/>
      <c r="EJ26" s="128"/>
      <c r="EK26" s="128"/>
    </row>
    <row r="27" spans="1:141" x14ac:dyDescent="0.4">
      <c r="A27" s="74">
        <f t="shared" si="0"/>
        <v>5</v>
      </c>
      <c r="B27" s="74">
        <v>23</v>
      </c>
      <c r="C27" s="127">
        <f>DATE(Jaartal,January!$B$3,January!$B27)</f>
        <v>43853</v>
      </c>
      <c r="D27" s="104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6"/>
      <c r="AI27" s="104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6"/>
      <c r="BN27" s="104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6"/>
      <c r="CS27" s="104"/>
      <c r="CT27" s="105"/>
      <c r="CU27" s="105"/>
      <c r="CV27" s="105"/>
      <c r="CW27" s="105"/>
      <c r="CX27" s="105"/>
      <c r="CY27" s="105"/>
      <c r="CZ27" s="105"/>
      <c r="DA27" s="105"/>
      <c r="DB27" s="105"/>
      <c r="DC27" s="105"/>
      <c r="DD27" s="105"/>
      <c r="DE27" s="105"/>
      <c r="DF27" s="105"/>
      <c r="DG27" s="105"/>
      <c r="DH27" s="105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U27" s="107"/>
      <c r="DV27" s="107"/>
      <c r="DW27" s="106"/>
      <c r="DX27" s="128"/>
      <c r="DY27" s="128"/>
      <c r="DZ27" s="128"/>
      <c r="EA27" s="128"/>
      <c r="EB27" s="128"/>
      <c r="EC27" s="128"/>
      <c r="ED27" s="128"/>
      <c r="EE27" s="128"/>
      <c r="EF27" s="128"/>
      <c r="EG27" s="128"/>
      <c r="EH27" s="128"/>
      <c r="EI27" s="128"/>
      <c r="EJ27" s="128"/>
      <c r="EK27" s="128"/>
    </row>
    <row r="28" spans="1:141" x14ac:dyDescent="0.4">
      <c r="A28" s="74">
        <f t="shared" si="0"/>
        <v>6</v>
      </c>
      <c r="B28" s="74">
        <v>24</v>
      </c>
      <c r="C28" s="127">
        <f>DATE(Jaartal,January!$B$3,January!$B28)</f>
        <v>43854</v>
      </c>
      <c r="D28" s="104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6"/>
      <c r="AI28" s="104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6"/>
      <c r="BN28" s="104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6"/>
      <c r="CS28" s="104"/>
      <c r="CT28" s="105"/>
      <c r="CU28" s="105"/>
      <c r="CV28" s="105"/>
      <c r="CW28" s="105"/>
      <c r="CX28" s="105"/>
      <c r="CY28" s="105"/>
      <c r="CZ28" s="105"/>
      <c r="DA28" s="105"/>
      <c r="DB28" s="105"/>
      <c r="DC28" s="105"/>
      <c r="DD28" s="105"/>
      <c r="DE28" s="105"/>
      <c r="DF28" s="105"/>
      <c r="DG28" s="105"/>
      <c r="DH28" s="105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6"/>
      <c r="DX28" s="128"/>
      <c r="DY28" s="128"/>
      <c r="DZ28" s="128"/>
      <c r="EA28" s="128"/>
      <c r="EB28" s="128"/>
      <c r="EC28" s="128"/>
      <c r="ED28" s="128"/>
      <c r="EE28" s="128"/>
      <c r="EF28" s="128"/>
      <c r="EG28" s="128"/>
      <c r="EH28" s="128"/>
      <c r="EI28" s="128"/>
      <c r="EJ28" s="128"/>
      <c r="EK28" s="128"/>
    </row>
    <row r="29" spans="1:141" x14ac:dyDescent="0.4">
      <c r="A29" s="74">
        <f t="shared" si="0"/>
        <v>7</v>
      </c>
      <c r="B29" s="74">
        <v>25</v>
      </c>
      <c r="C29" s="127">
        <f>DATE(Jaartal,January!$B$3,January!$B29)</f>
        <v>43855</v>
      </c>
      <c r="D29" s="104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6"/>
      <c r="AI29" s="104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6"/>
      <c r="BN29" s="104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6"/>
      <c r="CS29" s="104"/>
      <c r="CT29" s="105"/>
      <c r="CU29" s="105"/>
      <c r="CV29" s="105"/>
      <c r="CW29" s="105"/>
      <c r="CX29" s="105"/>
      <c r="CY29" s="105"/>
      <c r="CZ29" s="105"/>
      <c r="DA29" s="105"/>
      <c r="DB29" s="105"/>
      <c r="DC29" s="105"/>
      <c r="DD29" s="105"/>
      <c r="DE29" s="105"/>
      <c r="DF29" s="105"/>
      <c r="DG29" s="105"/>
      <c r="DH29" s="105"/>
      <c r="DI29" s="107"/>
      <c r="DJ29" s="107"/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U29" s="107"/>
      <c r="DV29" s="107"/>
      <c r="DW29" s="106"/>
      <c r="DX29" s="128"/>
      <c r="DY29" s="128"/>
      <c r="DZ29" s="128"/>
      <c r="EA29" s="128"/>
      <c r="EB29" s="128"/>
      <c r="EC29" s="128"/>
      <c r="ED29" s="128"/>
      <c r="EE29" s="128"/>
      <c r="EF29" s="128"/>
      <c r="EG29" s="128"/>
      <c r="EH29" s="128"/>
      <c r="EI29" s="128"/>
      <c r="EJ29" s="128"/>
      <c r="EK29" s="128"/>
    </row>
    <row r="30" spans="1:141" x14ac:dyDescent="0.4">
      <c r="A30" s="74">
        <f t="shared" si="0"/>
        <v>1</v>
      </c>
      <c r="B30" s="74">
        <v>26</v>
      </c>
      <c r="C30" s="127">
        <f>DATE(Jaartal,January!$B$3,January!$B30)</f>
        <v>43856</v>
      </c>
      <c r="D30" s="104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6"/>
      <c r="AI30" s="104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6"/>
      <c r="BN30" s="104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6"/>
      <c r="CS30" s="104"/>
      <c r="CT30" s="105"/>
      <c r="CU30" s="105"/>
      <c r="CV30" s="105"/>
      <c r="CW30" s="105"/>
      <c r="CX30" s="105"/>
      <c r="CY30" s="105"/>
      <c r="CZ30" s="105"/>
      <c r="DA30" s="105"/>
      <c r="DB30" s="105"/>
      <c r="DC30" s="105"/>
      <c r="DD30" s="105"/>
      <c r="DE30" s="105"/>
      <c r="DF30" s="105"/>
      <c r="DG30" s="105"/>
      <c r="DH30" s="105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U30" s="107"/>
      <c r="DV30" s="107"/>
      <c r="DW30" s="106"/>
      <c r="DX30" s="128"/>
      <c r="DY30" s="128"/>
      <c r="DZ30" s="128"/>
      <c r="EA30" s="128"/>
      <c r="EB30" s="128"/>
      <c r="EC30" s="128"/>
      <c r="ED30" s="128"/>
      <c r="EE30" s="128"/>
      <c r="EF30" s="128"/>
      <c r="EG30" s="128"/>
      <c r="EH30" s="128"/>
      <c r="EI30" s="128"/>
      <c r="EJ30" s="128"/>
      <c r="EK30" s="128"/>
    </row>
    <row r="31" spans="1:141" x14ac:dyDescent="0.4">
      <c r="A31" s="74">
        <f t="shared" si="0"/>
        <v>2</v>
      </c>
      <c r="B31" s="74">
        <v>27</v>
      </c>
      <c r="C31" s="127">
        <f>DATE(Jaartal,January!$B$3,January!$B31)</f>
        <v>43857</v>
      </c>
      <c r="D31" s="104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6"/>
      <c r="AI31" s="104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6"/>
      <c r="BN31" s="104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6"/>
      <c r="CS31" s="104"/>
      <c r="CT31" s="105"/>
      <c r="CU31" s="105"/>
      <c r="CV31" s="105"/>
      <c r="CW31" s="105"/>
      <c r="CX31" s="105"/>
      <c r="CY31" s="105"/>
      <c r="CZ31" s="105"/>
      <c r="DA31" s="105"/>
      <c r="DB31" s="105"/>
      <c r="DC31" s="105"/>
      <c r="DD31" s="105"/>
      <c r="DE31" s="105"/>
      <c r="DF31" s="105"/>
      <c r="DG31" s="105"/>
      <c r="DH31" s="105"/>
      <c r="DI31" s="107"/>
      <c r="DJ31" s="107"/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U31" s="107"/>
      <c r="DV31" s="107"/>
      <c r="DW31" s="106"/>
      <c r="DX31" s="128"/>
      <c r="DY31" s="128"/>
      <c r="DZ31" s="128"/>
      <c r="EA31" s="128"/>
      <c r="EB31" s="128"/>
      <c r="EC31" s="128"/>
      <c r="ED31" s="128"/>
      <c r="EE31" s="128"/>
      <c r="EF31" s="128"/>
      <c r="EG31" s="128"/>
      <c r="EH31" s="128"/>
      <c r="EI31" s="128"/>
      <c r="EJ31" s="128"/>
      <c r="EK31" s="128"/>
    </row>
    <row r="32" spans="1:141" x14ac:dyDescent="0.4">
      <c r="A32" s="74">
        <f t="shared" si="0"/>
        <v>3</v>
      </c>
      <c r="B32" s="74">
        <v>28</v>
      </c>
      <c r="C32" s="127">
        <f>DATE(Jaartal,January!$B$3,January!$B32)</f>
        <v>43858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6"/>
      <c r="AI32" s="104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6"/>
      <c r="BN32" s="104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6"/>
      <c r="CS32" s="104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6"/>
      <c r="DX32" s="128"/>
      <c r="DY32" s="128"/>
      <c r="DZ32" s="128"/>
      <c r="EA32" s="128"/>
      <c r="EB32" s="128"/>
      <c r="EC32" s="128"/>
      <c r="ED32" s="128"/>
      <c r="EE32" s="128"/>
      <c r="EF32" s="128"/>
      <c r="EG32" s="128"/>
      <c r="EH32" s="128"/>
      <c r="EI32" s="128"/>
      <c r="EJ32" s="128"/>
      <c r="EK32" s="128"/>
    </row>
    <row r="33" spans="1:141" x14ac:dyDescent="0.4">
      <c r="A33" s="74">
        <f t="shared" si="0"/>
        <v>4</v>
      </c>
      <c r="B33" s="74">
        <v>29</v>
      </c>
      <c r="C33" s="127">
        <f>DATE(Jaartal,January!$B$3,January!$B33)</f>
        <v>43859</v>
      </c>
      <c r="D33" s="104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6"/>
      <c r="AI33" s="104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6"/>
      <c r="BN33" s="104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6"/>
      <c r="CS33" s="104"/>
      <c r="CT33" s="105"/>
      <c r="CU33" s="105"/>
      <c r="CV33" s="105"/>
      <c r="CW33" s="105"/>
      <c r="CX33" s="105"/>
      <c r="CY33" s="105"/>
      <c r="CZ33" s="105"/>
      <c r="DA33" s="105"/>
      <c r="DB33" s="105"/>
      <c r="DC33" s="105"/>
      <c r="DD33" s="105"/>
      <c r="DE33" s="105"/>
      <c r="DF33" s="105"/>
      <c r="DG33" s="105"/>
      <c r="DH33" s="105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6"/>
      <c r="DX33" s="128"/>
      <c r="DY33" s="128"/>
      <c r="DZ33" s="128"/>
      <c r="EA33" s="128"/>
      <c r="EB33" s="128"/>
      <c r="EC33" s="128"/>
      <c r="ED33" s="128"/>
      <c r="EE33" s="128"/>
      <c r="EF33" s="128"/>
      <c r="EG33" s="128"/>
      <c r="EH33" s="128"/>
      <c r="EI33" s="128"/>
      <c r="EJ33" s="128"/>
      <c r="EK33" s="128"/>
    </row>
    <row r="34" spans="1:141" x14ac:dyDescent="0.4">
      <c r="A34" s="74">
        <f t="shared" si="0"/>
        <v>5</v>
      </c>
      <c r="B34" s="74">
        <v>30</v>
      </c>
      <c r="C34" s="127">
        <f>DATE(Jaartal,January!$B$3,January!$B34)</f>
        <v>43860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6"/>
      <c r="AI34" s="104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6"/>
      <c r="BN34" s="104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6"/>
      <c r="CS34" s="104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5"/>
      <c r="DH34" s="105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6"/>
      <c r="DX34" s="128"/>
      <c r="DY34" s="128"/>
      <c r="DZ34" s="128"/>
      <c r="EA34" s="128"/>
      <c r="EB34" s="128"/>
      <c r="EC34" s="128"/>
      <c r="ED34" s="128"/>
      <c r="EE34" s="128"/>
      <c r="EF34" s="128"/>
      <c r="EG34" s="128"/>
      <c r="EH34" s="128"/>
      <c r="EI34" s="128"/>
      <c r="EJ34" s="128"/>
      <c r="EK34" s="128"/>
    </row>
    <row r="35" spans="1:141" x14ac:dyDescent="0.4">
      <c r="A35" s="74">
        <f t="shared" si="0"/>
        <v>6</v>
      </c>
      <c r="B35" s="74">
        <v>31</v>
      </c>
      <c r="C35" s="127">
        <f>DATE(Jaartal,January!$B$3,January!$B35)</f>
        <v>43861</v>
      </c>
      <c r="D35" s="104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6"/>
      <c r="AI35" s="104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6"/>
      <c r="BN35" s="104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6"/>
      <c r="CS35" s="108"/>
      <c r="CT35" s="105"/>
      <c r="CU35" s="105"/>
      <c r="CV35" s="105"/>
      <c r="CW35" s="105"/>
      <c r="CX35" s="105"/>
      <c r="CY35" s="105"/>
      <c r="CZ35" s="105"/>
      <c r="DA35" s="105"/>
      <c r="DB35" s="105"/>
      <c r="DC35" s="105"/>
      <c r="DD35" s="105"/>
      <c r="DE35" s="105"/>
      <c r="DF35" s="105"/>
      <c r="DG35" s="105"/>
      <c r="DH35" s="105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6"/>
      <c r="DX35" s="128"/>
      <c r="DY35" s="128"/>
      <c r="DZ35" s="128"/>
      <c r="EA35" s="128"/>
      <c r="EB35" s="128"/>
      <c r="EC35" s="128"/>
      <c r="ED35" s="128"/>
      <c r="EE35" s="128"/>
      <c r="EF35" s="128"/>
      <c r="EG35" s="128"/>
      <c r="EH35" s="128"/>
      <c r="EI35" s="128"/>
      <c r="EJ35" s="128"/>
      <c r="EK35" s="128"/>
    </row>
    <row r="36" spans="1:141" x14ac:dyDescent="0.4">
      <c r="BR36" s="128"/>
      <c r="BS36" s="128"/>
      <c r="BT36" s="128"/>
      <c r="BU36" s="128"/>
      <c r="BV36" s="128"/>
      <c r="BY36" s="128"/>
      <c r="BZ36" s="128"/>
      <c r="CB36" s="128"/>
      <c r="CC36" s="128"/>
      <c r="CD36" s="128"/>
      <c r="CE36" s="128"/>
      <c r="CF36" s="128"/>
      <c r="CG36" s="128"/>
      <c r="CH36" s="128"/>
      <c r="CI36" s="128"/>
      <c r="CJ36" s="128"/>
      <c r="CK36" s="128"/>
      <c r="CL36" s="128"/>
      <c r="CM36" s="128"/>
      <c r="CN36" s="128"/>
      <c r="CO36" s="128"/>
      <c r="CP36" s="128"/>
      <c r="CQ36" s="128"/>
      <c r="CW36" s="128"/>
      <c r="CX36" s="128"/>
      <c r="CY36" s="128"/>
      <c r="CZ36" s="128"/>
      <c r="DA36" s="128"/>
      <c r="DD36" s="128"/>
      <c r="DE36" s="128"/>
      <c r="DG36" s="128"/>
      <c r="DH36" s="128"/>
      <c r="DI36" s="128"/>
      <c r="DJ36" s="128"/>
      <c r="DK36" s="128"/>
      <c r="DL36" s="128"/>
      <c r="DM36" s="128"/>
      <c r="DN36" s="128"/>
      <c r="DO36" s="128"/>
      <c r="DP36" s="128"/>
      <c r="DQ36" s="128"/>
      <c r="DR36" s="128"/>
      <c r="DS36" s="128"/>
      <c r="DT36" s="128"/>
      <c r="DU36" s="128"/>
      <c r="DV36" s="128"/>
    </row>
    <row r="38" spans="1:141" ht="13.5" thickBot="1" x14ac:dyDescent="0.45"/>
    <row r="39" spans="1:141" ht="13.5" thickBot="1" x14ac:dyDescent="0.45">
      <c r="D39" s="109" t="s">
        <v>7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1"/>
    </row>
    <row r="40" spans="1:141" ht="13.5" thickBot="1" x14ac:dyDescent="0.45">
      <c r="D40" s="112">
        <v>1</v>
      </c>
      <c r="E40" s="113" t="s">
        <v>4</v>
      </c>
      <c r="F40" s="113"/>
      <c r="G40" s="113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5"/>
    </row>
    <row r="41" spans="1:141" ht="13.5" thickBot="1" x14ac:dyDescent="0.45">
      <c r="D41" s="116">
        <v>2</v>
      </c>
      <c r="E41" s="117" t="s">
        <v>79</v>
      </c>
      <c r="F41" s="117"/>
      <c r="G41" s="117"/>
      <c r="H41" s="117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9"/>
    </row>
    <row r="42" spans="1:141" ht="13.5" thickBot="1" x14ac:dyDescent="0.45">
      <c r="D42" s="120">
        <v>3</v>
      </c>
      <c r="E42" s="117" t="s">
        <v>66</v>
      </c>
      <c r="F42" s="117"/>
      <c r="G42" s="117"/>
      <c r="H42" s="117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9"/>
    </row>
    <row r="43" spans="1:141" ht="13.5" thickBot="1" x14ac:dyDescent="0.45">
      <c r="D43" s="121"/>
      <c r="E43" s="122" t="s">
        <v>80</v>
      </c>
      <c r="F43" s="122"/>
      <c r="G43" s="122"/>
      <c r="H43" s="12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4"/>
    </row>
    <row r="44" spans="1:141" x14ac:dyDescent="0.4">
      <c r="D44" s="129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1"/>
      <c r="AI44" s="131"/>
      <c r="AR44" s="130"/>
      <c r="AS44" s="130"/>
      <c r="AV44" s="130"/>
      <c r="BW44" s="130"/>
      <c r="BX44" s="130"/>
      <c r="CA44" s="130"/>
      <c r="DB44" s="130"/>
      <c r="DC44" s="130"/>
      <c r="DF44" s="130"/>
    </row>
    <row r="52" spans="33:34" x14ac:dyDescent="0.4">
      <c r="AG52" s="128"/>
      <c r="AH52" s="128"/>
    </row>
    <row r="53" spans="33:34" x14ac:dyDescent="0.4">
      <c r="AG53" s="128"/>
      <c r="AH53" s="128"/>
    </row>
    <row r="54" spans="33:34" x14ac:dyDescent="0.4">
      <c r="AG54" s="128"/>
      <c r="AH54" s="128"/>
    </row>
    <row r="55" spans="33:34" x14ac:dyDescent="0.4">
      <c r="AG55" s="128"/>
      <c r="AH55" s="128"/>
    </row>
    <row r="56" spans="33:34" x14ac:dyDescent="0.4">
      <c r="AG56" s="128"/>
      <c r="AH56" s="128"/>
    </row>
  </sheetData>
  <sheetProtection sheet="1" objects="1" scenarios="1" selectLockedCells="1"/>
  <mergeCells count="13">
    <mergeCell ref="D1:AH1"/>
    <mergeCell ref="AI1:BM1"/>
    <mergeCell ref="BN1:CR1"/>
    <mergeCell ref="CS1:DW1"/>
    <mergeCell ref="AH3:AH4"/>
    <mergeCell ref="BM3:BM4"/>
    <mergeCell ref="CR3:CR4"/>
    <mergeCell ref="DW3:DW4"/>
    <mergeCell ref="D39:AI39"/>
    <mergeCell ref="E40:AI40"/>
    <mergeCell ref="E41:AI41"/>
    <mergeCell ref="E42:AI42"/>
    <mergeCell ref="E43:AI43"/>
  </mergeCells>
  <conditionalFormatting sqref="D5:L35 O5:P35 AT5:AU35 BY5:BZ35 DD5:DE35 R5:AQ35 AW5:BV35 CB5:DA35 DG5:DW35">
    <cfRule type="expression" dxfId="459" priority="33" stopIfTrue="1">
      <formula>D5=3</formula>
    </cfRule>
    <cfRule type="expression" dxfId="458" priority="34" stopIfTrue="1">
      <formula>D5=2</formula>
    </cfRule>
    <cfRule type="expression" dxfId="457" priority="35" stopIfTrue="1">
      <formula>D5=1</formula>
    </cfRule>
    <cfRule type="expression" dxfId="456" priority="36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455" priority="29" stopIfTrue="1">
      <formula>M5=3</formula>
    </cfRule>
    <cfRule type="expression" dxfId="454" priority="30" stopIfTrue="1">
      <formula>M5=2</formula>
    </cfRule>
    <cfRule type="expression" dxfId="453" priority="31" stopIfTrue="1">
      <formula>M5=1</formula>
    </cfRule>
    <cfRule type="expression" dxfId="452" priority="32" stopIfTrue="1">
      <formula>IF($A5=1,1,IF($A5=7,1,IF(M$2="Q",IF($A5=2,IF($B5&lt;8,IF(MOD($B$3,3)&lt;&gt;0,1,0),1),1),IF(M$2="M",IF($A5=2,IF($B5&gt;7,1,0),1),IF(M$2="W",IF($A5=2,0,1),0)))))</formula>
    </cfRule>
  </conditionalFormatting>
  <conditionalFormatting sqref="AR5:AS35">
    <cfRule type="expression" dxfId="451" priority="25" stopIfTrue="1">
      <formula>AR5=3</formula>
    </cfRule>
    <cfRule type="expression" dxfId="450" priority="26" stopIfTrue="1">
      <formula>AR5=2</formula>
    </cfRule>
    <cfRule type="expression" dxfId="449" priority="27" stopIfTrue="1">
      <formula>AR5=1</formula>
    </cfRule>
    <cfRule type="expression" dxfId="448" priority="28" stopIfTrue="1">
      <formula>IF($A5=1,1,IF($A5=7,1,IF(AR$2="Q",IF($A5=2,IF($B5&lt;8,IF(MOD($B$3,3)&lt;&gt;0,1,0),1),1),IF(AR$2="M",IF($A5=2,IF($B5&gt;7,1,0),1),IF(AR$2="W",IF($A5=2,0,1),0)))))</formula>
    </cfRule>
  </conditionalFormatting>
  <conditionalFormatting sqref="BW5:BX35">
    <cfRule type="expression" dxfId="447" priority="21" stopIfTrue="1">
      <formula>BW5=3</formula>
    </cfRule>
    <cfRule type="expression" dxfId="446" priority="22" stopIfTrue="1">
      <formula>BW5=2</formula>
    </cfRule>
    <cfRule type="expression" dxfId="445" priority="23" stopIfTrue="1">
      <formula>BW5=1</formula>
    </cfRule>
    <cfRule type="expression" dxfId="444" priority="24" stopIfTrue="1">
      <formula>IF($A5=1,1,IF($A5=7,1,IF(BW$2="Q",IF($A5=2,IF($B5&lt;8,IF(MOD($B$3,3)&lt;&gt;0,1,0),1),1),IF(BW$2="M",IF($A5=2,IF($B5&gt;7,1,0),1),IF(BW$2="W",IF($A5=2,0,1),0)))))</formula>
    </cfRule>
  </conditionalFormatting>
  <conditionalFormatting sqref="DB5:DC35">
    <cfRule type="expression" dxfId="443" priority="17" stopIfTrue="1">
      <formula>DB5=3</formula>
    </cfRule>
    <cfRule type="expression" dxfId="442" priority="18" stopIfTrue="1">
      <formula>DB5=2</formula>
    </cfRule>
    <cfRule type="expression" dxfId="441" priority="19" stopIfTrue="1">
      <formula>DB5=1</formula>
    </cfRule>
    <cfRule type="expression" dxfId="440" priority="20" stopIfTrue="1">
      <formula>IF($A5=1,1,IF($A5=7,1,IF(DB$2="Q",IF($A5=2,IF($B5&lt;8,IF(MOD($B$3,3)&lt;&gt;0,1,0),1),1),IF(DB$2="M",IF($A5=2,IF($B5&gt;7,1,0),1),IF(DB$2="W",IF($A5=2,0,1),0)))))</formula>
    </cfRule>
  </conditionalFormatting>
  <conditionalFormatting sqref="Q5:Q35">
    <cfRule type="expression" dxfId="439" priority="13" stopIfTrue="1">
      <formula>Q5=3</formula>
    </cfRule>
    <cfRule type="expression" dxfId="438" priority="14" stopIfTrue="1">
      <formula>Q5=2</formula>
    </cfRule>
    <cfRule type="expression" dxfId="437" priority="15" stopIfTrue="1">
      <formula>Q5=1</formula>
    </cfRule>
    <cfRule type="expression" dxfId="436" priority="16" stopIfTrue="1">
      <formula>IF($A5=1,1,IF($A5=7,1,IF(Q$2="Q",IF($A5=2,IF($B5&lt;8,IF(MOD($B$3,3)&lt;&gt;0,1,0),1),1),IF(Q$2="M",IF($A5=2,IF($B5&gt;7,1,0),1),IF(Q$2="W",IF($A5=2,0,1),0)))))</formula>
    </cfRule>
  </conditionalFormatting>
  <conditionalFormatting sqref="AV5:AV35">
    <cfRule type="expression" dxfId="435" priority="9" stopIfTrue="1">
      <formula>AV5=3</formula>
    </cfRule>
    <cfRule type="expression" dxfId="434" priority="10" stopIfTrue="1">
      <formula>AV5=2</formula>
    </cfRule>
    <cfRule type="expression" dxfId="433" priority="11" stopIfTrue="1">
      <formula>AV5=1</formula>
    </cfRule>
    <cfRule type="expression" dxfId="432" priority="12" stopIfTrue="1">
      <formula>IF($A5=1,1,IF($A5=7,1,IF(AV$2="Q",IF($A5=2,IF($B5&lt;8,IF(MOD($B$3,3)&lt;&gt;0,1,0),1),1),IF(AV$2="M",IF($A5=2,IF($B5&gt;7,1,0),1),IF(AV$2="W",IF($A5=2,0,1),0)))))</formula>
    </cfRule>
  </conditionalFormatting>
  <conditionalFormatting sqref="CA5:CA35">
    <cfRule type="expression" dxfId="431" priority="5" stopIfTrue="1">
      <formula>CA5=3</formula>
    </cfRule>
    <cfRule type="expression" dxfId="430" priority="6" stopIfTrue="1">
      <formula>CA5=2</formula>
    </cfRule>
    <cfRule type="expression" dxfId="429" priority="7" stopIfTrue="1">
      <formula>CA5=1</formula>
    </cfRule>
    <cfRule type="expression" dxfId="428" priority="8" stopIfTrue="1">
      <formula>IF($A5=1,1,IF($A5=7,1,IF(CA$2="Q",IF($A5=2,IF($B5&lt;8,IF(MOD($B$3,3)&lt;&gt;0,1,0),1),1),IF(CA$2="M",IF($A5=2,IF($B5&gt;7,1,0),1),IF(CA$2="W",IF($A5=2,0,1),0)))))</formula>
    </cfRule>
  </conditionalFormatting>
  <conditionalFormatting sqref="DF5:DF35">
    <cfRule type="expression" dxfId="3" priority="1" stopIfTrue="1">
      <formula>DF5=3</formula>
    </cfRule>
    <cfRule type="expression" dxfId="2" priority="2" stopIfTrue="1">
      <formula>DF5=2</formula>
    </cfRule>
    <cfRule type="expression" dxfId="1" priority="3" stopIfTrue="1">
      <formula>DF5=1</formula>
    </cfRule>
    <cfRule type="expression" dxfId="0" priority="4" stopIfTrue="1">
      <formula>IF($A5=1,1,IF($A5=7,1,IF(DF$2="Q",IF($A5=2,IF($B5&lt;8,IF(MOD($B$3,3)&lt;&gt;0,1,0),1),1),IF(DF$2="M",IF($A5=2,IF($B5&gt;7,1,0),1),IF(DF$2="W",IF($A5=2,0,1),0)))))</formula>
    </cfRule>
  </conditionalFormatting>
  <dataValidations count="4">
    <dataValidation type="list" allowBlank="1" showInputMessage="1" showErrorMessage="1" sqref="BN5:CQ35 D5:AG35 AI5:BL35 CS5:DV35" xr:uid="{00000000-0002-0000-0200-000000000000}">
      <formula1>Status</formula1>
    </dataValidation>
    <dataValidation type="list" allowBlank="1" showInputMessage="1" showErrorMessage="1" sqref="C3" xr:uid="{00000000-0002-0000-0200-000001000000}">
      <formula1>List_Maanden</formula1>
    </dataValidation>
    <dataValidation type="list" allowBlank="1" showInputMessage="1" showErrorMessage="1" sqref="DW5:DW35 CR5:CR35 BM5:BM35 AH5:AH35" xr:uid="{00000000-0002-0000-0200-000002000000}">
      <formula1>List_Personen</formula1>
    </dataValidation>
    <dataValidation type="list" allowBlank="1" showInputMessage="1" showErrorMessage="1" sqref="DB2:DC2 AR2:AS2 BW2:BX2 D2:AG2 AV2 CA2 DF2" xr:uid="{00000000-0002-0000-0200-000003000000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824E4-AC50-410A-B66C-B61F91B623F0}">
  <sheetPr codeName="Sheet4"/>
  <dimension ref="A1:EK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3.15" x14ac:dyDescent="0.4"/>
  <cols>
    <col min="1" max="1" width="8.796875" style="74" hidden="1" customWidth="1"/>
    <col min="2" max="2" width="4.265625" style="74" hidden="1" customWidth="1"/>
    <col min="3" max="3" width="25.73046875" style="74" bestFit="1" customWidth="1"/>
    <col min="4" max="5" width="3.19921875" style="74" bestFit="1" customWidth="1"/>
    <col min="6" max="8" width="3.19921875" style="74" customWidth="1"/>
    <col min="9" max="10" width="3.19921875" style="74" bestFit="1" customWidth="1"/>
    <col min="11" max="18" width="3.19921875" style="74" customWidth="1"/>
    <col min="19" max="19" width="3.19921875" style="74" bestFit="1" customWidth="1"/>
    <col min="20" max="24" width="3.19921875" style="74" customWidth="1"/>
    <col min="25" max="25" width="3.19921875" style="74" bestFit="1" customWidth="1"/>
    <col min="26" max="32" width="3.19921875" style="74" customWidth="1"/>
    <col min="33" max="33" width="2.73046875" style="74" bestFit="1" customWidth="1"/>
    <col min="34" max="34" width="14" style="74" bestFit="1" customWidth="1"/>
    <col min="35" max="39" width="3.19921875" style="74" bestFit="1" customWidth="1"/>
    <col min="40" max="46" width="3.19921875" style="74" customWidth="1"/>
    <col min="47" max="47" width="3.19921875" style="74" bestFit="1" customWidth="1"/>
    <col min="48" max="48" width="3.19921875" style="74" customWidth="1"/>
    <col min="49" max="49" width="3.19921875" style="74" bestFit="1" customWidth="1"/>
    <col min="50" max="50" width="2.73046875" style="74" bestFit="1" customWidth="1"/>
    <col min="51" max="64" width="2.73046875" style="74" customWidth="1"/>
    <col min="65" max="65" width="14" style="74" bestFit="1" customWidth="1"/>
    <col min="66" max="70" width="3.19921875" style="74" bestFit="1" customWidth="1"/>
    <col min="71" max="77" width="3.19921875" style="74" customWidth="1"/>
    <col min="78" max="78" width="3.19921875" style="74" bestFit="1" customWidth="1"/>
    <col min="79" max="79" width="3.19921875" style="74" customWidth="1"/>
    <col min="80" max="80" width="3.19921875" style="74" bestFit="1" customWidth="1"/>
    <col min="81" max="81" width="2.73046875" style="74" bestFit="1" customWidth="1"/>
    <col min="82" max="95" width="2.73046875" style="74" customWidth="1"/>
    <col min="96" max="96" width="14" style="74" bestFit="1" customWidth="1"/>
    <col min="97" max="102" width="3.19921875" style="74" bestFit="1" customWidth="1"/>
    <col min="103" max="110" width="3.19921875" style="74" customWidth="1"/>
    <col min="111" max="111" width="3.19921875" style="74" bestFit="1" customWidth="1"/>
    <col min="112" max="112" width="2.73046875" style="74" bestFit="1" customWidth="1"/>
    <col min="113" max="126" width="2.73046875" style="74" customWidth="1"/>
    <col min="127" max="127" width="14" style="74" bestFit="1" customWidth="1"/>
    <col min="128" max="128" width="6" style="74" customWidth="1"/>
    <col min="129" max="16384" width="9.06640625" style="74"/>
  </cols>
  <sheetData>
    <row r="1" spans="1:141" ht="18.399999999999999" thickBot="1" x14ac:dyDescent="0.6">
      <c r="C1" s="75" t="s">
        <v>5</v>
      </c>
      <c r="D1" s="76" t="s">
        <v>44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8"/>
      <c r="AI1" s="79" t="s">
        <v>45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1"/>
      <c r="BN1" s="82" t="s">
        <v>46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4"/>
      <c r="CS1" s="85" t="s">
        <v>47</v>
      </c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7"/>
    </row>
    <row r="2" spans="1:141" ht="13.5" thickBot="1" x14ac:dyDescent="0.45">
      <c r="A2" s="74" t="s">
        <v>13</v>
      </c>
      <c r="B2" s="74" t="s">
        <v>14</v>
      </c>
      <c r="C2" s="88" t="s">
        <v>3</v>
      </c>
      <c r="D2" s="89" t="str">
        <f>+Template!D2</f>
        <v>D</v>
      </c>
      <c r="E2" s="90" t="str">
        <f>+Template!E2</f>
        <v>D</v>
      </c>
      <c r="F2" s="90" t="str">
        <f>+Template!F2</f>
        <v>D</v>
      </c>
      <c r="G2" s="90" t="str">
        <f>+Template!G2</f>
        <v>D</v>
      </c>
      <c r="H2" s="90" t="str">
        <f>+Template!H2</f>
        <v>D</v>
      </c>
      <c r="I2" s="91" t="str">
        <f>+Template!I2</f>
        <v>D</v>
      </c>
      <c r="J2" s="91" t="str">
        <f>+Template!J2</f>
        <v>D</v>
      </c>
      <c r="K2" s="91" t="str">
        <f>+Template!K2</f>
        <v>D</v>
      </c>
      <c r="L2" s="91" t="str">
        <f>+Template!L2</f>
        <v>D</v>
      </c>
      <c r="M2" s="91" t="s">
        <v>2</v>
      </c>
      <c r="N2" s="91" t="s">
        <v>2</v>
      </c>
      <c r="O2" s="91" t="str">
        <f>+Template!O2</f>
        <v>D</v>
      </c>
      <c r="P2" s="91" t="str">
        <f>+Template!P2</f>
        <v>D</v>
      </c>
      <c r="Q2" s="91" t="s">
        <v>2</v>
      </c>
      <c r="R2" s="91" t="str">
        <f>+Template!R2</f>
        <v>D</v>
      </c>
      <c r="S2" s="91" t="str">
        <f>+Template!S2</f>
        <v>D</v>
      </c>
      <c r="T2" s="91" t="str">
        <f>+Template!T2</f>
        <v>D</v>
      </c>
      <c r="U2" s="91" t="str">
        <f>+Template!U2</f>
        <v>D</v>
      </c>
      <c r="V2" s="91" t="str">
        <f>+Template!V2</f>
        <v>D</v>
      </c>
      <c r="W2" s="91" t="str">
        <f>+Template!W2</f>
        <v>D</v>
      </c>
      <c r="X2" s="91" t="str">
        <f>+Template!X2</f>
        <v>W</v>
      </c>
      <c r="Y2" s="91" t="str">
        <f>+Template!Y2</f>
        <v>W</v>
      </c>
      <c r="Z2" s="91" t="str">
        <f>+Template!Z2</f>
        <v>W</v>
      </c>
      <c r="AA2" s="91" t="str">
        <f>+Template!AA2</f>
        <v>W</v>
      </c>
      <c r="AB2" s="91" t="str">
        <f>+Template!AB2</f>
        <v>M</v>
      </c>
      <c r="AC2" s="91" t="str">
        <f>+Template!AC2</f>
        <v>M</v>
      </c>
      <c r="AD2" s="91" t="str">
        <f>+Template!AD2</f>
        <v>M</v>
      </c>
      <c r="AE2" s="91" t="str">
        <f>+Template!AE2</f>
        <v>M</v>
      </c>
      <c r="AF2" s="91" t="str">
        <f>+Template!AF2</f>
        <v>Q</v>
      </c>
      <c r="AG2" s="91" t="str">
        <f>+Template!AG2</f>
        <v>Q</v>
      </c>
      <c r="AH2" s="92"/>
      <c r="AI2" s="89" t="str">
        <f>+Template!D2</f>
        <v>D</v>
      </c>
      <c r="AJ2" s="90" t="str">
        <f>+Template!E2</f>
        <v>D</v>
      </c>
      <c r="AK2" s="90" t="str">
        <f>+Template!F2</f>
        <v>D</v>
      </c>
      <c r="AL2" s="90" t="str">
        <f>+Template!G2</f>
        <v>D</v>
      </c>
      <c r="AM2" s="90" t="str">
        <f>+Template!H2</f>
        <v>D</v>
      </c>
      <c r="AN2" s="90" t="str">
        <f>+Template!I2</f>
        <v>D</v>
      </c>
      <c r="AO2" s="90" t="str">
        <f>+Template!J2</f>
        <v>D</v>
      </c>
      <c r="AP2" s="90" t="str">
        <f>+Template!K2</f>
        <v>D</v>
      </c>
      <c r="AQ2" s="90" t="str">
        <f>+Template!L2</f>
        <v>D</v>
      </c>
      <c r="AR2" s="91" t="s">
        <v>2</v>
      </c>
      <c r="AS2" s="91" t="s">
        <v>2</v>
      </c>
      <c r="AT2" s="90" t="str">
        <f>+Template!O2</f>
        <v>D</v>
      </c>
      <c r="AU2" s="91" t="str">
        <f>+Template!P2</f>
        <v>D</v>
      </c>
      <c r="AV2" s="91" t="s">
        <v>2</v>
      </c>
      <c r="AW2" s="91" t="str">
        <f>+Template!R2</f>
        <v>D</v>
      </c>
      <c r="AX2" s="91" t="str">
        <f>+Template!S2</f>
        <v>D</v>
      </c>
      <c r="AY2" s="91" t="str">
        <f>+Template!T2</f>
        <v>D</v>
      </c>
      <c r="AZ2" s="91" t="str">
        <f>+Template!U2</f>
        <v>D</v>
      </c>
      <c r="BA2" s="91" t="str">
        <f>+Template!V2</f>
        <v>D</v>
      </c>
      <c r="BB2" s="91" t="str">
        <f>+Template!W2</f>
        <v>D</v>
      </c>
      <c r="BC2" s="91" t="str">
        <f>+Template!X2</f>
        <v>W</v>
      </c>
      <c r="BD2" s="91" t="str">
        <f>+Template!Y2</f>
        <v>W</v>
      </c>
      <c r="BE2" s="91" t="str">
        <f>+Template!Z2</f>
        <v>W</v>
      </c>
      <c r="BF2" s="91" t="str">
        <f>+Template!AA2</f>
        <v>W</v>
      </c>
      <c r="BG2" s="91" t="str">
        <f>+Template!AB2</f>
        <v>M</v>
      </c>
      <c r="BH2" s="91" t="str">
        <f>+Template!AC2</f>
        <v>M</v>
      </c>
      <c r="BI2" s="91" t="str">
        <f>+Template!AD2</f>
        <v>M</v>
      </c>
      <c r="BJ2" s="91" t="str">
        <f>+Template!AE2</f>
        <v>M</v>
      </c>
      <c r="BK2" s="91" t="str">
        <f>+Template!AF2</f>
        <v>Q</v>
      </c>
      <c r="BL2" s="91" t="str">
        <f>+Template!AG2</f>
        <v>Q</v>
      </c>
      <c r="BM2" s="92"/>
      <c r="BN2" s="89" t="str">
        <f>+Template!D2</f>
        <v>D</v>
      </c>
      <c r="BO2" s="90" t="str">
        <f>+Template!E2</f>
        <v>D</v>
      </c>
      <c r="BP2" s="90" t="str">
        <f>+Template!F2</f>
        <v>D</v>
      </c>
      <c r="BQ2" s="90" t="str">
        <f>+Template!G2</f>
        <v>D</v>
      </c>
      <c r="BR2" s="90" t="str">
        <f>+Template!H2</f>
        <v>D</v>
      </c>
      <c r="BS2" s="90" t="str">
        <f>+Template!I2</f>
        <v>D</v>
      </c>
      <c r="BT2" s="90" t="str">
        <f>+Template!J2</f>
        <v>D</v>
      </c>
      <c r="BU2" s="90" t="str">
        <f>+Template!K2</f>
        <v>D</v>
      </c>
      <c r="BV2" s="90" t="str">
        <f>+Template!L2</f>
        <v>D</v>
      </c>
      <c r="BW2" s="91" t="s">
        <v>2</v>
      </c>
      <c r="BX2" s="91" t="s">
        <v>2</v>
      </c>
      <c r="BY2" s="90" t="str">
        <f>+Template!O2</f>
        <v>D</v>
      </c>
      <c r="BZ2" s="91" t="str">
        <f>+Template!P2</f>
        <v>D</v>
      </c>
      <c r="CA2" s="91" t="s">
        <v>2</v>
      </c>
      <c r="CB2" s="91" t="str">
        <f>+Template!R2</f>
        <v>D</v>
      </c>
      <c r="CC2" s="91" t="str">
        <f>+Template!S2</f>
        <v>D</v>
      </c>
      <c r="CD2" s="91" t="str">
        <f>+Template!T2</f>
        <v>D</v>
      </c>
      <c r="CE2" s="91" t="str">
        <f>+Template!U2</f>
        <v>D</v>
      </c>
      <c r="CF2" s="91" t="str">
        <f>+Template!V2</f>
        <v>D</v>
      </c>
      <c r="CG2" s="91" t="str">
        <f>+Template!W2</f>
        <v>D</v>
      </c>
      <c r="CH2" s="91" t="str">
        <f>+Template!X2</f>
        <v>W</v>
      </c>
      <c r="CI2" s="91" t="str">
        <f>+Template!Y2</f>
        <v>W</v>
      </c>
      <c r="CJ2" s="91" t="str">
        <f>+Template!Z2</f>
        <v>W</v>
      </c>
      <c r="CK2" s="91" t="str">
        <f>+Template!AA2</f>
        <v>W</v>
      </c>
      <c r="CL2" s="91" t="str">
        <f>+Template!AB2</f>
        <v>M</v>
      </c>
      <c r="CM2" s="91" t="str">
        <f>+Template!AC2</f>
        <v>M</v>
      </c>
      <c r="CN2" s="91" t="str">
        <f>+Template!AD2</f>
        <v>M</v>
      </c>
      <c r="CO2" s="91" t="str">
        <f>+Template!AE2</f>
        <v>M</v>
      </c>
      <c r="CP2" s="91" t="str">
        <f>+Template!AF2</f>
        <v>Q</v>
      </c>
      <c r="CQ2" s="91" t="str">
        <f>+Template!AG2</f>
        <v>Q</v>
      </c>
      <c r="CR2" s="92"/>
      <c r="CS2" s="89" t="str">
        <f>+Template!D2</f>
        <v>D</v>
      </c>
      <c r="CT2" s="90" t="str">
        <f>+Template!E2</f>
        <v>D</v>
      </c>
      <c r="CU2" s="90" t="str">
        <f>+Template!F2</f>
        <v>D</v>
      </c>
      <c r="CV2" s="90" t="str">
        <f>+Template!G2</f>
        <v>D</v>
      </c>
      <c r="CW2" s="90" t="str">
        <f>+Template!H2</f>
        <v>D</v>
      </c>
      <c r="CX2" s="91" t="str">
        <f>+Template!I2</f>
        <v>D</v>
      </c>
      <c r="CY2" s="91" t="str">
        <f>+Template!J2</f>
        <v>D</v>
      </c>
      <c r="CZ2" s="91" t="str">
        <f>+Template!K2</f>
        <v>D</v>
      </c>
      <c r="DA2" s="91" t="str">
        <f>+Template!L2</f>
        <v>D</v>
      </c>
      <c r="DB2" s="91" t="s">
        <v>2</v>
      </c>
      <c r="DC2" s="91" t="s">
        <v>2</v>
      </c>
      <c r="DD2" s="91" t="str">
        <f>+Template!O2</f>
        <v>D</v>
      </c>
      <c r="DE2" s="91" t="str">
        <f>+Template!P2</f>
        <v>D</v>
      </c>
      <c r="DF2" s="91" t="s">
        <v>2</v>
      </c>
      <c r="DG2" s="91" t="str">
        <f>+Template!R2</f>
        <v>D</v>
      </c>
      <c r="DH2" s="91" t="str">
        <f>+Template!S2</f>
        <v>D</v>
      </c>
      <c r="DI2" s="91" t="str">
        <f>+Template!T2</f>
        <v>D</v>
      </c>
      <c r="DJ2" s="91" t="str">
        <f>+Template!U2</f>
        <v>D</v>
      </c>
      <c r="DK2" s="91" t="str">
        <f>+Template!V2</f>
        <v>D</v>
      </c>
      <c r="DL2" s="91" t="str">
        <f>+Template!W2</f>
        <v>D</v>
      </c>
      <c r="DM2" s="91" t="str">
        <f>+Template!X2</f>
        <v>W</v>
      </c>
      <c r="DN2" s="91" t="str">
        <f>+Template!Y2</f>
        <v>W</v>
      </c>
      <c r="DO2" s="91" t="str">
        <f>+Template!Z2</f>
        <v>W</v>
      </c>
      <c r="DP2" s="91" t="str">
        <f>+Template!AA2</f>
        <v>W</v>
      </c>
      <c r="DQ2" s="91" t="str">
        <f>+Template!AB2</f>
        <v>M</v>
      </c>
      <c r="DR2" s="91" t="str">
        <f>+Template!AC2</f>
        <v>M</v>
      </c>
      <c r="DS2" s="91" t="str">
        <f>+Template!AD2</f>
        <v>M</v>
      </c>
      <c r="DT2" s="91" t="str">
        <f>+Template!AE2</f>
        <v>M</v>
      </c>
      <c r="DU2" s="91" t="str">
        <f>+Template!AF2</f>
        <v>Q</v>
      </c>
      <c r="DV2" s="91" t="str">
        <f>+Template!AG2</f>
        <v>Q</v>
      </c>
      <c r="DW2" s="92"/>
    </row>
    <row r="3" spans="1:141" ht="150" x14ac:dyDescent="0.4">
      <c r="B3" s="74">
        <f>VLOOKUP(C3,Data!E2:F13,2,FALSE)</f>
        <v>2</v>
      </c>
      <c r="C3" s="93" t="s">
        <v>58</v>
      </c>
      <c r="D3" s="94" t="str">
        <f>+Template!D3</f>
        <v>Quick environment check</v>
      </c>
      <c r="E3" s="95" t="str">
        <f>+Template!E3</f>
        <v>Health Analyzer Issues</v>
      </c>
      <c r="F3" s="95" t="str">
        <f>+Template!F3</f>
        <v>Content Database Status</v>
      </c>
      <c r="G3" s="95" t="str">
        <f>+Template!G3</f>
        <v>Upgrade Status Servers</v>
      </c>
      <c r="H3" s="95" t="str">
        <f>+Template!H3</f>
        <v>Upgrade Status Databases</v>
      </c>
      <c r="I3" s="95" t="str">
        <f>+Template!I3</f>
        <v>Failed Timer Jobs</v>
      </c>
      <c r="J3" s="95" t="str">
        <f>+Template!J3</f>
        <v>Deployment Status Solutions</v>
      </c>
      <c r="K3" s="95" t="str">
        <f>+Template!K3</f>
        <v>Content Database Size</v>
      </c>
      <c r="L3" s="95" t="str">
        <f>+Template!L3</f>
        <v>Service Application Status</v>
      </c>
      <c r="M3" s="95" t="s">
        <v>98</v>
      </c>
      <c r="N3" s="95" t="s">
        <v>99</v>
      </c>
      <c r="O3" s="95" t="str">
        <f>+Template!O3</f>
        <v>Search Topology</v>
      </c>
      <c r="P3" s="95" t="str">
        <f>+Template!P3</f>
        <v>Search Gatherer Logs</v>
      </c>
      <c r="Q3" s="95" t="s">
        <v>100</v>
      </c>
      <c r="R3" s="95" t="str">
        <f>+Template!R3</f>
        <v>Last Boot Time</v>
      </c>
      <c r="S3" s="95" t="str">
        <f>+Template!S3</f>
        <v>Running Services Check</v>
      </c>
      <c r="T3" s="95" t="str">
        <f>+Template!T3</f>
        <v>Scheduled Tasks</v>
      </c>
      <c r="U3" s="95" t="str">
        <f>+Template!U3</f>
        <v>Running websites en application pools</v>
      </c>
      <c r="V3" s="95" t="str">
        <f>+Template!V3</f>
        <v>Group Membership Check</v>
      </c>
      <c r="W3" s="95" t="str">
        <f>+Template!W3</f>
        <v>Backup Status</v>
      </c>
      <c r="X3" s="95" t="str">
        <f>+Template!X3</f>
        <v>Permissions Check</v>
      </c>
      <c r="Y3" s="95" t="str">
        <f>+Template!Y3</f>
        <v>New Updates</v>
      </c>
      <c r="Z3" s="95" t="str">
        <f>+Template!Z3</f>
        <v>Baseline Settings</v>
      </c>
      <c r="AA3" s="95" t="str">
        <f>+Template!AA3</f>
        <v>Access Check</v>
      </c>
      <c r="AB3" s="95" t="str">
        <f>+Template!AB3</f>
        <v>Missing Security Updates/Service Packs</v>
      </c>
      <c r="AC3" s="95" t="str">
        <f>+Template!AC3</f>
        <v>Policy Compliance</v>
      </c>
      <c r="AD3" s="95" t="str">
        <f>+Template!AD3</f>
        <v>Documentation Check</v>
      </c>
      <c r="AE3" s="95" t="str">
        <f>+Template!AE3</f>
        <v>SSL Certificates Check</v>
      </c>
      <c r="AF3" s="95" t="str">
        <f>+Template!AF3</f>
        <v>Disaster Recovery Test</v>
      </c>
      <c r="AG3" s="95" t="str">
        <f>+Template!AG3</f>
        <v>Lifecycle Check</v>
      </c>
      <c r="AH3" s="96" t="str">
        <f>+Template!AH3</f>
        <v>Performed by:</v>
      </c>
      <c r="AI3" s="94" t="str">
        <f>+Template!D3</f>
        <v>Quick environment check</v>
      </c>
      <c r="AJ3" s="95" t="str">
        <f>+Template!E3</f>
        <v>Health Analyzer Issues</v>
      </c>
      <c r="AK3" s="95" t="str">
        <f>+Template!F3</f>
        <v>Content Database Status</v>
      </c>
      <c r="AL3" s="95" t="str">
        <f>+Template!G3</f>
        <v>Upgrade Status Servers</v>
      </c>
      <c r="AM3" s="95" t="str">
        <f>+Template!H3</f>
        <v>Upgrade Status Databases</v>
      </c>
      <c r="AN3" s="95" t="str">
        <f>+Template!I3</f>
        <v>Failed Timer Jobs</v>
      </c>
      <c r="AO3" s="95" t="str">
        <f>+Template!J3</f>
        <v>Deployment Status Solutions</v>
      </c>
      <c r="AP3" s="95" t="str">
        <f>+Template!K3</f>
        <v>Content Database Size</v>
      </c>
      <c r="AQ3" s="95" t="str">
        <f>+Template!L3</f>
        <v>Service Application Status</v>
      </c>
      <c r="AR3" s="95" t="s">
        <v>98</v>
      </c>
      <c r="AS3" s="95" t="s">
        <v>99</v>
      </c>
      <c r="AT3" s="95" t="str">
        <f>+Template!O3</f>
        <v>Search Topology</v>
      </c>
      <c r="AU3" s="95" t="str">
        <f>+Template!P3</f>
        <v>Search Gatherer Logs</v>
      </c>
      <c r="AV3" s="95" t="s">
        <v>100</v>
      </c>
      <c r="AW3" s="95" t="str">
        <f>+Template!R3</f>
        <v>Last Boot Time</v>
      </c>
      <c r="AX3" s="95" t="str">
        <f>+Template!S3</f>
        <v>Running Services Check</v>
      </c>
      <c r="AY3" s="95" t="str">
        <f>+Template!T3</f>
        <v>Scheduled Tasks</v>
      </c>
      <c r="AZ3" s="95" t="str">
        <f>+Template!U3</f>
        <v>Running websites en application pools</v>
      </c>
      <c r="BA3" s="95" t="str">
        <f>+Template!V3</f>
        <v>Group Membership Check</v>
      </c>
      <c r="BB3" s="95" t="str">
        <f>+Template!W3</f>
        <v>Backup Status</v>
      </c>
      <c r="BC3" s="95" t="str">
        <f>+Template!X3</f>
        <v>Permissions Check</v>
      </c>
      <c r="BD3" s="95" t="str">
        <f>+Template!Y3</f>
        <v>New Updates</v>
      </c>
      <c r="BE3" s="95" t="str">
        <f>+Template!Z3</f>
        <v>Baseline Settings</v>
      </c>
      <c r="BF3" s="95" t="str">
        <f>+Template!AA3</f>
        <v>Access Check</v>
      </c>
      <c r="BG3" s="95" t="str">
        <f>+Template!AB3</f>
        <v>Missing Security Updates/Service Packs</v>
      </c>
      <c r="BH3" s="95" t="str">
        <f>+Template!AC3</f>
        <v>Policy Compliance</v>
      </c>
      <c r="BI3" s="95" t="str">
        <f>+Template!AD3</f>
        <v>Documentation Check</v>
      </c>
      <c r="BJ3" s="95" t="str">
        <f>+Template!AE3</f>
        <v>SSL Certificates Check</v>
      </c>
      <c r="BK3" s="95" t="str">
        <f>+Template!AF3</f>
        <v>Disaster Recovery Test</v>
      </c>
      <c r="BL3" s="95" t="str">
        <f>+Template!AG3</f>
        <v>Lifecycle Check</v>
      </c>
      <c r="BM3" s="96" t="str">
        <f>+Template!AH3</f>
        <v>Performed by:</v>
      </c>
      <c r="BN3" s="94" t="str">
        <f>+Template!D3</f>
        <v>Quick environment check</v>
      </c>
      <c r="BO3" s="95" t="str">
        <f>+Template!E3</f>
        <v>Health Analyzer Issues</v>
      </c>
      <c r="BP3" s="95" t="str">
        <f>+Template!F3</f>
        <v>Content Database Status</v>
      </c>
      <c r="BQ3" s="95" t="str">
        <f>+Template!G3</f>
        <v>Upgrade Status Servers</v>
      </c>
      <c r="BR3" s="95" t="str">
        <f>+Template!H3</f>
        <v>Upgrade Status Databases</v>
      </c>
      <c r="BS3" s="95" t="str">
        <f>+Template!I3</f>
        <v>Failed Timer Jobs</v>
      </c>
      <c r="BT3" s="95" t="str">
        <f>+Template!J3</f>
        <v>Deployment Status Solutions</v>
      </c>
      <c r="BU3" s="95" t="str">
        <f>+Template!K3</f>
        <v>Content Database Size</v>
      </c>
      <c r="BV3" s="95" t="str">
        <f>+Template!L3</f>
        <v>Service Application Status</v>
      </c>
      <c r="BW3" s="95" t="s">
        <v>98</v>
      </c>
      <c r="BX3" s="95" t="s">
        <v>99</v>
      </c>
      <c r="BY3" s="95" t="str">
        <f>+Template!O3</f>
        <v>Search Topology</v>
      </c>
      <c r="BZ3" s="95" t="str">
        <f>+Template!P3</f>
        <v>Search Gatherer Logs</v>
      </c>
      <c r="CA3" s="95" t="s">
        <v>100</v>
      </c>
      <c r="CB3" s="95" t="str">
        <f>+Template!R3</f>
        <v>Last Boot Time</v>
      </c>
      <c r="CC3" s="95" t="str">
        <f>+Template!S3</f>
        <v>Running Services Check</v>
      </c>
      <c r="CD3" s="95" t="str">
        <f>+Template!T3</f>
        <v>Scheduled Tasks</v>
      </c>
      <c r="CE3" s="95" t="str">
        <f>+Template!U3</f>
        <v>Running websites en application pools</v>
      </c>
      <c r="CF3" s="95" t="str">
        <f>+Template!V3</f>
        <v>Group Membership Check</v>
      </c>
      <c r="CG3" s="95" t="str">
        <f>+Template!W3</f>
        <v>Backup Status</v>
      </c>
      <c r="CH3" s="95" t="str">
        <f>+Template!X3</f>
        <v>Permissions Check</v>
      </c>
      <c r="CI3" s="95" t="str">
        <f>+Template!Y3</f>
        <v>New Updates</v>
      </c>
      <c r="CJ3" s="95" t="str">
        <f>+Template!Z3</f>
        <v>Baseline Settings</v>
      </c>
      <c r="CK3" s="95" t="str">
        <f>+Template!AA3</f>
        <v>Access Check</v>
      </c>
      <c r="CL3" s="95" t="str">
        <f>+Template!AB3</f>
        <v>Missing Security Updates/Service Packs</v>
      </c>
      <c r="CM3" s="95" t="str">
        <f>+Template!AC3</f>
        <v>Policy Compliance</v>
      </c>
      <c r="CN3" s="95" t="str">
        <f>+Template!AD3</f>
        <v>Documentation Check</v>
      </c>
      <c r="CO3" s="95" t="str">
        <f>+Template!AE3</f>
        <v>SSL Certificates Check</v>
      </c>
      <c r="CP3" s="95" t="str">
        <f>+Template!AF3</f>
        <v>Disaster Recovery Test</v>
      </c>
      <c r="CQ3" s="95" t="str">
        <f>+Template!AG3</f>
        <v>Lifecycle Check</v>
      </c>
      <c r="CR3" s="96" t="str">
        <f>+Template!AH3</f>
        <v>Performed by:</v>
      </c>
      <c r="CS3" s="94" t="str">
        <f>+Template!D3</f>
        <v>Quick environment check</v>
      </c>
      <c r="CT3" s="95" t="str">
        <f>+Template!E3</f>
        <v>Health Analyzer Issues</v>
      </c>
      <c r="CU3" s="95" t="str">
        <f>+Template!F3</f>
        <v>Content Database Status</v>
      </c>
      <c r="CV3" s="95" t="str">
        <f>+Template!G3</f>
        <v>Upgrade Status Servers</v>
      </c>
      <c r="CW3" s="95" t="str">
        <f>+Template!H3</f>
        <v>Upgrade Status Databases</v>
      </c>
      <c r="CX3" s="95" t="str">
        <f>+Template!I3</f>
        <v>Failed Timer Jobs</v>
      </c>
      <c r="CY3" s="95" t="str">
        <f>+Template!J3</f>
        <v>Deployment Status Solutions</v>
      </c>
      <c r="CZ3" s="95" t="str">
        <f>+Template!K3</f>
        <v>Content Database Size</v>
      </c>
      <c r="DA3" s="95" t="str">
        <f>+Template!L3</f>
        <v>Service Application Status</v>
      </c>
      <c r="DB3" s="95" t="s">
        <v>98</v>
      </c>
      <c r="DC3" s="95" t="s">
        <v>99</v>
      </c>
      <c r="DD3" s="95" t="str">
        <f>+Template!O3</f>
        <v>Search Topology</v>
      </c>
      <c r="DE3" s="95" t="str">
        <f>+Template!P3</f>
        <v>Search Gatherer Logs</v>
      </c>
      <c r="DF3" s="95" t="s">
        <v>100</v>
      </c>
      <c r="DG3" s="95" t="str">
        <f>+Template!R3</f>
        <v>Last Boot Time</v>
      </c>
      <c r="DH3" s="95" t="str">
        <f>+Template!S3</f>
        <v>Running Services Check</v>
      </c>
      <c r="DI3" s="95" t="str">
        <f>+Template!T3</f>
        <v>Scheduled Tasks</v>
      </c>
      <c r="DJ3" s="95" t="str">
        <f>+Template!U3</f>
        <v>Running websites en application pools</v>
      </c>
      <c r="DK3" s="95" t="str">
        <f>+Template!V3</f>
        <v>Group Membership Check</v>
      </c>
      <c r="DL3" s="95" t="str">
        <f>+Template!W3</f>
        <v>Backup Status</v>
      </c>
      <c r="DM3" s="95" t="str">
        <f>+Template!X3</f>
        <v>Permissions Check</v>
      </c>
      <c r="DN3" s="95" t="str">
        <f>+Template!Y3</f>
        <v>New Updates</v>
      </c>
      <c r="DO3" s="95" t="str">
        <f>+Template!Z3</f>
        <v>Baseline Settings</v>
      </c>
      <c r="DP3" s="95" t="str">
        <f>+Template!AA3</f>
        <v>Access Check</v>
      </c>
      <c r="DQ3" s="95" t="str">
        <f>+Template!AB3</f>
        <v>Missing Security Updates/Service Packs</v>
      </c>
      <c r="DR3" s="95" t="str">
        <f>+Template!AC3</f>
        <v>Policy Compliance</v>
      </c>
      <c r="DS3" s="95" t="str">
        <f>+Template!AD3</f>
        <v>Documentation Check</v>
      </c>
      <c r="DT3" s="95" t="str">
        <f>+Template!AE3</f>
        <v>SSL Certificates Check</v>
      </c>
      <c r="DU3" s="95" t="str">
        <f>+Template!AF3</f>
        <v>Disaster Recovery Test</v>
      </c>
      <c r="DV3" s="95" t="str">
        <f>+Template!AG3</f>
        <v>Lifecycle Check</v>
      </c>
      <c r="DW3" s="96" t="str">
        <f>+Template!AH3</f>
        <v>Performed by:</v>
      </c>
      <c r="DX3" s="125"/>
      <c r="DY3" s="126"/>
      <c r="DZ3" s="126"/>
      <c r="EA3" s="126"/>
    </row>
    <row r="4" spans="1:141" ht="23.25" customHeight="1" thickBot="1" x14ac:dyDescent="0.45">
      <c r="C4" s="97">
        <f>Jaartal</f>
        <v>2020</v>
      </c>
      <c r="D4" s="94">
        <f>+Template!D4</f>
        <v>1</v>
      </c>
      <c r="E4" s="95">
        <f>+Template!E4</f>
        <v>10</v>
      </c>
      <c r="F4" s="95">
        <f>+Template!F4</f>
        <v>11</v>
      </c>
      <c r="G4" s="95">
        <f>+Template!G4</f>
        <v>12</v>
      </c>
      <c r="H4" s="95">
        <f>+Template!H4</f>
        <v>13</v>
      </c>
      <c r="I4" s="95">
        <f>+Template!I4</f>
        <v>14</v>
      </c>
      <c r="J4" s="95">
        <f>+Template!J4</f>
        <v>15</v>
      </c>
      <c r="K4" s="95">
        <f>+Template!K4</f>
        <v>16</v>
      </c>
      <c r="L4" s="95">
        <f>+Template!L4</f>
        <v>17</v>
      </c>
      <c r="M4" s="95">
        <v>18</v>
      </c>
      <c r="N4" s="95">
        <v>19</v>
      </c>
      <c r="O4" s="95">
        <f>+Template!O4</f>
        <v>20</v>
      </c>
      <c r="P4" s="95">
        <f>+Template!P4</f>
        <v>21</v>
      </c>
      <c r="Q4" s="95">
        <v>22</v>
      </c>
      <c r="R4" s="95">
        <f>+Template!R4</f>
        <v>30</v>
      </c>
      <c r="S4" s="95">
        <f>+Template!S4</f>
        <v>31</v>
      </c>
      <c r="T4" s="95">
        <f>+Template!T4</f>
        <v>32</v>
      </c>
      <c r="U4" s="95">
        <f>+Template!U4</f>
        <v>33</v>
      </c>
      <c r="V4" s="95">
        <f>+Template!V4</f>
        <v>34</v>
      </c>
      <c r="W4" s="95">
        <f>+Template!W4</f>
        <v>40</v>
      </c>
      <c r="X4" s="95" t="str">
        <f>+Template!X4</f>
        <v>W01</v>
      </c>
      <c r="Y4" s="95" t="str">
        <f>+Template!Y4</f>
        <v>W02</v>
      </c>
      <c r="Z4" s="95" t="str">
        <f>+Template!Z4</f>
        <v>W03</v>
      </c>
      <c r="AA4" s="95" t="str">
        <f>+Template!AA4</f>
        <v>W04</v>
      </c>
      <c r="AB4" s="95" t="str">
        <f>+Template!AB4</f>
        <v>M01</v>
      </c>
      <c r="AC4" s="95" t="str">
        <f>+Template!AC4</f>
        <v>M02</v>
      </c>
      <c r="AD4" s="95" t="str">
        <f>+Template!AD4</f>
        <v>M03</v>
      </c>
      <c r="AE4" s="95" t="str">
        <f>+Template!AE4</f>
        <v>M04</v>
      </c>
      <c r="AF4" s="95" t="str">
        <f>+Template!AF4</f>
        <v>Q01</v>
      </c>
      <c r="AG4" s="95" t="str">
        <f>+Template!AG4</f>
        <v>Q02</v>
      </c>
      <c r="AH4" s="98"/>
      <c r="AI4" s="94">
        <f>+Template!D4</f>
        <v>1</v>
      </c>
      <c r="AJ4" s="95">
        <f>+Template!E4</f>
        <v>10</v>
      </c>
      <c r="AK4" s="95">
        <f>+Template!F4</f>
        <v>11</v>
      </c>
      <c r="AL4" s="95">
        <f>+Template!G4</f>
        <v>12</v>
      </c>
      <c r="AM4" s="95">
        <f>+Template!H4</f>
        <v>13</v>
      </c>
      <c r="AN4" s="95">
        <f>+Template!I4</f>
        <v>14</v>
      </c>
      <c r="AO4" s="95">
        <f>+Template!J4</f>
        <v>15</v>
      </c>
      <c r="AP4" s="95">
        <f>+Template!K4</f>
        <v>16</v>
      </c>
      <c r="AQ4" s="95">
        <f>+Template!L4</f>
        <v>17</v>
      </c>
      <c r="AR4" s="95">
        <v>18</v>
      </c>
      <c r="AS4" s="95">
        <v>19</v>
      </c>
      <c r="AT4" s="95">
        <f>+Template!O4</f>
        <v>20</v>
      </c>
      <c r="AU4" s="95">
        <f>+Template!P4</f>
        <v>21</v>
      </c>
      <c r="AV4" s="95">
        <v>22</v>
      </c>
      <c r="AW4" s="95">
        <f>+Template!R4</f>
        <v>30</v>
      </c>
      <c r="AX4" s="95">
        <f>+Template!S4</f>
        <v>31</v>
      </c>
      <c r="AY4" s="95">
        <f>+Template!T4</f>
        <v>32</v>
      </c>
      <c r="AZ4" s="95">
        <f>+Template!U4</f>
        <v>33</v>
      </c>
      <c r="BA4" s="95">
        <f>+Template!V4</f>
        <v>34</v>
      </c>
      <c r="BB4" s="95">
        <f>+Template!W4</f>
        <v>40</v>
      </c>
      <c r="BC4" s="95" t="str">
        <f>+Template!X4</f>
        <v>W01</v>
      </c>
      <c r="BD4" s="95" t="str">
        <f>+Template!Y4</f>
        <v>W02</v>
      </c>
      <c r="BE4" s="95" t="str">
        <f>+Template!Z4</f>
        <v>W03</v>
      </c>
      <c r="BF4" s="95" t="str">
        <f>+Template!AA4</f>
        <v>W04</v>
      </c>
      <c r="BG4" s="95" t="str">
        <f>+Template!AB4</f>
        <v>M01</v>
      </c>
      <c r="BH4" s="95" t="str">
        <f>+Template!AC4</f>
        <v>M02</v>
      </c>
      <c r="BI4" s="95" t="str">
        <f>+Template!AD4</f>
        <v>M03</v>
      </c>
      <c r="BJ4" s="95" t="str">
        <f>+Template!AE4</f>
        <v>M04</v>
      </c>
      <c r="BK4" s="95" t="str">
        <f>+Template!AF4</f>
        <v>Q01</v>
      </c>
      <c r="BL4" s="95" t="str">
        <f>+Template!AG4</f>
        <v>Q02</v>
      </c>
      <c r="BM4" s="98"/>
      <c r="BN4" s="94">
        <f>+Template!D4</f>
        <v>1</v>
      </c>
      <c r="BO4" s="95">
        <f>+Template!E4</f>
        <v>10</v>
      </c>
      <c r="BP4" s="95">
        <f>+Template!F4</f>
        <v>11</v>
      </c>
      <c r="BQ4" s="95">
        <f>+Template!G4</f>
        <v>12</v>
      </c>
      <c r="BR4" s="95">
        <f>+Template!H4</f>
        <v>13</v>
      </c>
      <c r="BS4" s="95">
        <f>+Template!I4</f>
        <v>14</v>
      </c>
      <c r="BT4" s="95">
        <f>+Template!J4</f>
        <v>15</v>
      </c>
      <c r="BU4" s="95">
        <f>+Template!K4</f>
        <v>16</v>
      </c>
      <c r="BV4" s="95">
        <f>+Template!L4</f>
        <v>17</v>
      </c>
      <c r="BW4" s="95">
        <v>18</v>
      </c>
      <c r="BX4" s="95">
        <v>19</v>
      </c>
      <c r="BY4" s="95">
        <f>+Template!O4</f>
        <v>20</v>
      </c>
      <c r="BZ4" s="95">
        <f>+Template!P4</f>
        <v>21</v>
      </c>
      <c r="CA4" s="95">
        <v>22</v>
      </c>
      <c r="CB4" s="95">
        <f>+Template!R4</f>
        <v>30</v>
      </c>
      <c r="CC4" s="95">
        <f>+Template!S4</f>
        <v>31</v>
      </c>
      <c r="CD4" s="95">
        <f>+Template!T4</f>
        <v>32</v>
      </c>
      <c r="CE4" s="95">
        <f>+Template!U4</f>
        <v>33</v>
      </c>
      <c r="CF4" s="95">
        <f>+Template!V4</f>
        <v>34</v>
      </c>
      <c r="CG4" s="95">
        <f>+Template!W4</f>
        <v>40</v>
      </c>
      <c r="CH4" s="95" t="str">
        <f>+Template!X4</f>
        <v>W01</v>
      </c>
      <c r="CI4" s="95" t="str">
        <f>+Template!Y4</f>
        <v>W02</v>
      </c>
      <c r="CJ4" s="95" t="str">
        <f>+Template!Z4</f>
        <v>W03</v>
      </c>
      <c r="CK4" s="95" t="str">
        <f>+Template!AA4</f>
        <v>W04</v>
      </c>
      <c r="CL4" s="95" t="str">
        <f>+Template!AB4</f>
        <v>M01</v>
      </c>
      <c r="CM4" s="95" t="str">
        <f>+Template!AC4</f>
        <v>M02</v>
      </c>
      <c r="CN4" s="95" t="str">
        <f>+Template!AD4</f>
        <v>M03</v>
      </c>
      <c r="CO4" s="95" t="str">
        <f>+Template!AE4</f>
        <v>M04</v>
      </c>
      <c r="CP4" s="95" t="str">
        <f>+Template!AF4</f>
        <v>Q01</v>
      </c>
      <c r="CQ4" s="95" t="str">
        <f>+Template!AG4</f>
        <v>Q02</v>
      </c>
      <c r="CR4" s="98"/>
      <c r="CS4" s="94">
        <f>+Template!D4</f>
        <v>1</v>
      </c>
      <c r="CT4" s="95">
        <f>+Template!E4</f>
        <v>10</v>
      </c>
      <c r="CU4" s="95">
        <f>+Template!F4</f>
        <v>11</v>
      </c>
      <c r="CV4" s="95">
        <f>+Template!G4</f>
        <v>12</v>
      </c>
      <c r="CW4" s="95">
        <f>+Template!H4</f>
        <v>13</v>
      </c>
      <c r="CX4" s="95">
        <f>+Template!I4</f>
        <v>14</v>
      </c>
      <c r="CY4" s="95">
        <f>+Template!J4</f>
        <v>15</v>
      </c>
      <c r="CZ4" s="95">
        <f>+Template!K4</f>
        <v>16</v>
      </c>
      <c r="DA4" s="95">
        <f>+Template!L4</f>
        <v>17</v>
      </c>
      <c r="DB4" s="95">
        <v>18</v>
      </c>
      <c r="DC4" s="95">
        <v>19</v>
      </c>
      <c r="DD4" s="95">
        <f>+Template!O4</f>
        <v>20</v>
      </c>
      <c r="DE4" s="95">
        <f>+Template!P4</f>
        <v>21</v>
      </c>
      <c r="DF4" s="95">
        <v>22</v>
      </c>
      <c r="DG4" s="95">
        <f>+Template!R4</f>
        <v>30</v>
      </c>
      <c r="DH4" s="95">
        <f>+Template!S4</f>
        <v>31</v>
      </c>
      <c r="DI4" s="95">
        <f>+Template!T4</f>
        <v>32</v>
      </c>
      <c r="DJ4" s="95">
        <f>+Template!U4</f>
        <v>33</v>
      </c>
      <c r="DK4" s="95">
        <f>+Template!V4</f>
        <v>34</v>
      </c>
      <c r="DL4" s="95">
        <f>+Template!W4</f>
        <v>40</v>
      </c>
      <c r="DM4" s="95" t="str">
        <f>+Template!X4</f>
        <v>W01</v>
      </c>
      <c r="DN4" s="95" t="str">
        <f>+Template!Y4</f>
        <v>W02</v>
      </c>
      <c r="DO4" s="95" t="str">
        <f>+Template!Z4</f>
        <v>W03</v>
      </c>
      <c r="DP4" s="95" t="str">
        <f>+Template!AA4</f>
        <v>W04</v>
      </c>
      <c r="DQ4" s="95" t="str">
        <f>+Template!AB4</f>
        <v>M01</v>
      </c>
      <c r="DR4" s="95" t="str">
        <f>+Template!AC4</f>
        <v>M02</v>
      </c>
      <c r="DS4" s="95" t="str">
        <f>+Template!AD4</f>
        <v>M03</v>
      </c>
      <c r="DT4" s="95" t="str">
        <f>+Template!AE4</f>
        <v>M04</v>
      </c>
      <c r="DU4" s="95" t="str">
        <f>+Template!AF4</f>
        <v>Q01</v>
      </c>
      <c r="DV4" s="95" t="str">
        <f>+Template!AG4</f>
        <v>Q02</v>
      </c>
      <c r="DW4" s="98"/>
      <c r="DX4" s="125"/>
      <c r="DY4" s="126"/>
      <c r="DZ4" s="126"/>
      <c r="EA4" s="126"/>
    </row>
    <row r="5" spans="1:141" x14ac:dyDescent="0.4">
      <c r="A5" s="74">
        <f>WEEKDAY(C5)</f>
        <v>7</v>
      </c>
      <c r="B5" s="74">
        <v>1</v>
      </c>
      <c r="C5" s="127">
        <f>DATE(Jaartal,February!$B$3,February!$B5)</f>
        <v>43862</v>
      </c>
      <c r="D5" s="100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2"/>
      <c r="AI5" s="100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2"/>
      <c r="BN5" s="100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2"/>
      <c r="CS5" s="100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3"/>
      <c r="DJ5" s="103"/>
      <c r="DK5" s="103"/>
      <c r="DL5" s="103"/>
      <c r="DM5" s="103"/>
      <c r="DN5" s="103"/>
      <c r="DO5" s="103"/>
      <c r="DP5" s="103"/>
      <c r="DQ5" s="103"/>
      <c r="DR5" s="103"/>
      <c r="DS5" s="103"/>
      <c r="DT5" s="103"/>
      <c r="DU5" s="103"/>
      <c r="DV5" s="103"/>
      <c r="DW5" s="102"/>
      <c r="DX5" s="128"/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</row>
    <row r="6" spans="1:141" x14ac:dyDescent="0.4">
      <c r="A6" s="74">
        <f t="shared" ref="A6:A35" si="0">WEEKDAY(C6)</f>
        <v>1</v>
      </c>
      <c r="B6" s="74">
        <v>2</v>
      </c>
      <c r="C6" s="127">
        <f>DATE(Jaartal,February!$B$3,February!$B6)</f>
        <v>43863</v>
      </c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6"/>
      <c r="AI6" s="104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6"/>
      <c r="BN6" s="104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6"/>
      <c r="CS6" s="104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6"/>
      <c r="DX6" s="128"/>
      <c r="DY6" s="128"/>
      <c r="DZ6" s="128"/>
      <c r="EA6" s="128"/>
      <c r="EB6" s="128"/>
      <c r="EC6" s="128"/>
      <c r="ED6" s="128"/>
      <c r="EE6" s="128"/>
      <c r="EF6" s="128"/>
      <c r="EG6" s="128"/>
      <c r="EH6" s="128"/>
      <c r="EI6" s="128"/>
      <c r="EJ6" s="128"/>
      <c r="EK6" s="128"/>
    </row>
    <row r="7" spans="1:141" x14ac:dyDescent="0.4">
      <c r="A7" s="74">
        <f t="shared" si="0"/>
        <v>2</v>
      </c>
      <c r="B7" s="74">
        <v>3</v>
      </c>
      <c r="C7" s="127">
        <f>DATE(Jaartal,February!$B$3,February!$B7)</f>
        <v>43864</v>
      </c>
      <c r="D7" s="104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6"/>
      <c r="AI7" s="104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6"/>
      <c r="BN7" s="104"/>
      <c r="BO7" s="105"/>
      <c r="BP7" s="105"/>
      <c r="BQ7" s="105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6"/>
      <c r="CS7" s="104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6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</row>
    <row r="8" spans="1:141" x14ac:dyDescent="0.4">
      <c r="A8" s="74">
        <f t="shared" si="0"/>
        <v>3</v>
      </c>
      <c r="B8" s="74">
        <v>4</v>
      </c>
      <c r="C8" s="127">
        <f>DATE(Jaartal,February!$B$3,February!$B8)</f>
        <v>43865</v>
      </c>
      <c r="D8" s="104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6"/>
      <c r="AI8" s="104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6"/>
      <c r="BN8" s="104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6"/>
      <c r="CS8" s="104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/>
      <c r="DT8" s="107"/>
      <c r="DU8" s="107"/>
      <c r="DV8" s="107"/>
      <c r="DW8" s="106"/>
      <c r="DX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</row>
    <row r="9" spans="1:141" x14ac:dyDescent="0.4">
      <c r="A9" s="74">
        <f t="shared" si="0"/>
        <v>4</v>
      </c>
      <c r="B9" s="74">
        <v>5</v>
      </c>
      <c r="C9" s="127">
        <f>DATE(Jaartal,February!$B$3,February!$B9)</f>
        <v>43866</v>
      </c>
      <c r="D9" s="104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6"/>
      <c r="AI9" s="104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6"/>
      <c r="BN9" s="104"/>
      <c r="BO9" s="105"/>
      <c r="BP9" s="105"/>
      <c r="BQ9" s="105"/>
      <c r="BR9" s="105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6"/>
      <c r="CS9" s="104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5"/>
      <c r="DH9" s="105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6"/>
      <c r="DX9" s="128"/>
      <c r="DY9" s="128"/>
      <c r="DZ9" s="128"/>
      <c r="EA9" s="128"/>
      <c r="EB9" s="128"/>
      <c r="EC9" s="128"/>
      <c r="ED9" s="128"/>
      <c r="EE9" s="128"/>
      <c r="EF9" s="128"/>
      <c r="EG9" s="128"/>
      <c r="EH9" s="128"/>
      <c r="EI9" s="128"/>
      <c r="EJ9" s="128"/>
      <c r="EK9" s="128"/>
    </row>
    <row r="10" spans="1:141" x14ac:dyDescent="0.4">
      <c r="A10" s="74">
        <f t="shared" si="0"/>
        <v>5</v>
      </c>
      <c r="B10" s="74">
        <v>6</v>
      </c>
      <c r="C10" s="127">
        <f>DATE(Jaartal,February!$B$3,February!$B10)</f>
        <v>43867</v>
      </c>
      <c r="D10" s="104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6"/>
      <c r="AI10" s="104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6"/>
      <c r="BN10" s="104"/>
      <c r="BO10" s="105"/>
      <c r="BP10" s="105"/>
      <c r="BQ10" s="105"/>
      <c r="BR10" s="105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6"/>
      <c r="CS10" s="104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5"/>
      <c r="DH10" s="105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6"/>
      <c r="DX10" s="128"/>
      <c r="DY10" s="128"/>
      <c r="DZ10" s="128"/>
      <c r="EA10" s="128"/>
      <c r="EB10" s="128"/>
      <c r="EC10" s="128"/>
      <c r="ED10" s="128"/>
      <c r="EE10" s="128"/>
      <c r="EF10" s="128"/>
      <c r="EG10" s="128"/>
      <c r="EH10" s="128"/>
      <c r="EI10" s="128"/>
      <c r="EJ10" s="128"/>
      <c r="EK10" s="128"/>
    </row>
    <row r="11" spans="1:141" x14ac:dyDescent="0.4">
      <c r="A11" s="74">
        <f t="shared" si="0"/>
        <v>6</v>
      </c>
      <c r="B11" s="74">
        <v>7</v>
      </c>
      <c r="C11" s="127">
        <f>DATE(Jaartal,February!$B$3,February!$B11)</f>
        <v>43868</v>
      </c>
      <c r="D11" s="104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6"/>
      <c r="AI11" s="104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6"/>
      <c r="BN11" s="104"/>
      <c r="BO11" s="105"/>
      <c r="BP11" s="105"/>
      <c r="BQ11" s="105"/>
      <c r="BR11" s="105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6"/>
      <c r="CS11" s="104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5"/>
      <c r="DH11" s="105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6"/>
      <c r="DX11" s="128"/>
      <c r="DY11" s="128"/>
      <c r="DZ11" s="128"/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</row>
    <row r="12" spans="1:141" x14ac:dyDescent="0.4">
      <c r="A12" s="74">
        <f t="shared" si="0"/>
        <v>7</v>
      </c>
      <c r="B12" s="74">
        <v>8</v>
      </c>
      <c r="C12" s="127">
        <f>DATE(Jaartal,February!$B$3,February!$B12)</f>
        <v>43869</v>
      </c>
      <c r="D12" s="104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6"/>
      <c r="AI12" s="104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6"/>
      <c r="BN12" s="104"/>
      <c r="BO12" s="105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6"/>
      <c r="CS12" s="104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5"/>
      <c r="DH12" s="105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6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</row>
    <row r="13" spans="1:141" x14ac:dyDescent="0.4">
      <c r="A13" s="74">
        <f t="shared" si="0"/>
        <v>1</v>
      </c>
      <c r="B13" s="74">
        <v>9</v>
      </c>
      <c r="C13" s="127">
        <f>DATE(Jaartal,February!$B$3,February!$B13)</f>
        <v>43870</v>
      </c>
      <c r="D13" s="104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6"/>
      <c r="AI13" s="104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6"/>
      <c r="BN13" s="104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6"/>
      <c r="CS13" s="104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5"/>
      <c r="DH13" s="105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6"/>
      <c r="DX13" s="128"/>
      <c r="DY13" s="128"/>
      <c r="DZ13" s="128"/>
      <c r="EA13" s="128"/>
      <c r="EB13" s="128"/>
      <c r="EC13" s="128"/>
      <c r="ED13" s="128"/>
      <c r="EE13" s="128"/>
      <c r="EF13" s="128"/>
      <c r="EG13" s="128"/>
      <c r="EH13" s="128"/>
      <c r="EI13" s="128"/>
      <c r="EJ13" s="128"/>
      <c r="EK13" s="128"/>
    </row>
    <row r="14" spans="1:141" x14ac:dyDescent="0.4">
      <c r="A14" s="74">
        <f t="shared" si="0"/>
        <v>2</v>
      </c>
      <c r="B14" s="74">
        <v>10</v>
      </c>
      <c r="C14" s="127">
        <f>DATE(Jaartal,February!$B$3,February!$B14)</f>
        <v>43871</v>
      </c>
      <c r="D14" s="104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6"/>
      <c r="AI14" s="104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6"/>
      <c r="BN14" s="104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6"/>
      <c r="CS14" s="104"/>
      <c r="CT14" s="105"/>
      <c r="CU14" s="105"/>
      <c r="CV14" s="105"/>
      <c r="CW14" s="105"/>
      <c r="CX14" s="105"/>
      <c r="CY14" s="105"/>
      <c r="CZ14" s="105"/>
      <c r="DA14" s="105"/>
      <c r="DB14" s="105"/>
      <c r="DC14" s="105"/>
      <c r="DD14" s="105"/>
      <c r="DE14" s="105"/>
      <c r="DF14" s="105"/>
      <c r="DG14" s="105"/>
      <c r="DH14" s="105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6"/>
      <c r="DX14" s="128"/>
      <c r="DY14" s="128"/>
      <c r="DZ14" s="128"/>
      <c r="EA14" s="128"/>
      <c r="EB14" s="128"/>
      <c r="EC14" s="128"/>
      <c r="ED14" s="128"/>
      <c r="EE14" s="128"/>
      <c r="EF14" s="128"/>
      <c r="EG14" s="128"/>
      <c r="EH14" s="128"/>
      <c r="EI14" s="128"/>
      <c r="EJ14" s="128"/>
      <c r="EK14" s="128"/>
    </row>
    <row r="15" spans="1:141" x14ac:dyDescent="0.4">
      <c r="A15" s="74">
        <f t="shared" si="0"/>
        <v>3</v>
      </c>
      <c r="B15" s="74">
        <v>11</v>
      </c>
      <c r="C15" s="127">
        <f>DATE(Jaartal,February!$B$3,February!$B15)</f>
        <v>43872</v>
      </c>
      <c r="D15" s="104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6"/>
      <c r="AI15" s="104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6"/>
      <c r="BN15" s="104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6"/>
      <c r="CS15" s="104"/>
      <c r="CT15" s="105"/>
      <c r="CU15" s="105"/>
      <c r="CV15" s="105"/>
      <c r="CW15" s="105"/>
      <c r="CX15" s="105"/>
      <c r="CY15" s="105"/>
      <c r="CZ15" s="105"/>
      <c r="DA15" s="105"/>
      <c r="DB15" s="105"/>
      <c r="DC15" s="105"/>
      <c r="DD15" s="105"/>
      <c r="DE15" s="105"/>
      <c r="DF15" s="105"/>
      <c r="DG15" s="105"/>
      <c r="DH15" s="105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6"/>
      <c r="DX15" s="128"/>
      <c r="DY15" s="128"/>
      <c r="DZ15" s="128"/>
      <c r="EA15" s="128"/>
      <c r="EB15" s="128"/>
      <c r="EC15" s="128"/>
      <c r="ED15" s="128"/>
      <c r="EE15" s="128"/>
      <c r="EF15" s="128"/>
      <c r="EG15" s="128"/>
      <c r="EH15" s="128"/>
      <c r="EI15" s="128"/>
      <c r="EJ15" s="128"/>
      <c r="EK15" s="128"/>
    </row>
    <row r="16" spans="1:141" x14ac:dyDescent="0.4">
      <c r="A16" s="74">
        <f t="shared" si="0"/>
        <v>4</v>
      </c>
      <c r="B16" s="74">
        <v>12</v>
      </c>
      <c r="C16" s="127">
        <f>DATE(Jaartal,February!$B$3,February!$B16)</f>
        <v>43873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6"/>
      <c r="AI16" s="104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6"/>
      <c r="BN16" s="104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6"/>
      <c r="DX16" s="128"/>
      <c r="DY16" s="128"/>
      <c r="DZ16" s="128"/>
      <c r="EA16" s="128"/>
      <c r="EB16" s="128"/>
      <c r="EC16" s="128"/>
      <c r="ED16" s="128"/>
      <c r="EE16" s="128"/>
      <c r="EF16" s="128"/>
      <c r="EG16" s="128"/>
      <c r="EH16" s="128"/>
      <c r="EI16" s="128"/>
      <c r="EJ16" s="128"/>
      <c r="EK16" s="128"/>
    </row>
    <row r="17" spans="1:141" x14ac:dyDescent="0.4">
      <c r="A17" s="74">
        <f t="shared" si="0"/>
        <v>5</v>
      </c>
      <c r="B17" s="74">
        <v>13</v>
      </c>
      <c r="C17" s="127">
        <f>DATE(Jaartal,February!$B$3,February!$B17)</f>
        <v>43874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6"/>
      <c r="AI17" s="104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6"/>
      <c r="BN17" s="104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6"/>
      <c r="CS17" s="104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6"/>
      <c r="DX17" s="128"/>
      <c r="DY17" s="128"/>
      <c r="DZ17" s="128"/>
      <c r="EA17" s="128"/>
      <c r="EB17" s="128"/>
      <c r="EC17" s="128"/>
      <c r="ED17" s="128"/>
      <c r="EE17" s="128"/>
      <c r="EF17" s="128"/>
      <c r="EG17" s="128"/>
      <c r="EH17" s="128"/>
      <c r="EI17" s="128"/>
      <c r="EJ17" s="128"/>
      <c r="EK17" s="128"/>
    </row>
    <row r="18" spans="1:141" x14ac:dyDescent="0.4">
      <c r="A18" s="74">
        <f t="shared" si="0"/>
        <v>6</v>
      </c>
      <c r="B18" s="74">
        <v>14</v>
      </c>
      <c r="C18" s="127">
        <f>DATE(Jaartal,February!$B$3,February!$B18)</f>
        <v>43875</v>
      </c>
      <c r="D18" s="104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6"/>
      <c r="AI18" s="104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6"/>
      <c r="BN18" s="104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6"/>
      <c r="CS18" s="104"/>
      <c r="CT18" s="105"/>
      <c r="CU18" s="105"/>
      <c r="CV18" s="105"/>
      <c r="CW18" s="105"/>
      <c r="CX18" s="105"/>
      <c r="CY18" s="105"/>
      <c r="CZ18" s="105"/>
      <c r="DA18" s="105"/>
      <c r="DB18" s="105"/>
      <c r="DC18" s="105"/>
      <c r="DD18" s="105"/>
      <c r="DE18" s="105"/>
      <c r="DF18" s="105"/>
      <c r="DG18" s="105"/>
      <c r="DH18" s="105"/>
      <c r="DI18" s="107"/>
      <c r="DJ18" s="107"/>
      <c r="DK18" s="107"/>
      <c r="DL18" s="107"/>
      <c r="DM18" s="107"/>
      <c r="DN18" s="107"/>
      <c r="DO18" s="107"/>
      <c r="DP18" s="107"/>
      <c r="DQ18" s="107"/>
      <c r="DR18" s="107"/>
      <c r="DS18" s="107"/>
      <c r="DT18" s="107"/>
      <c r="DU18" s="107"/>
      <c r="DV18" s="107"/>
      <c r="DW18" s="106"/>
      <c r="DX18" s="128"/>
      <c r="DY18" s="128"/>
      <c r="DZ18" s="128"/>
      <c r="EA18" s="128"/>
      <c r="EB18" s="128"/>
      <c r="EC18" s="128"/>
      <c r="ED18" s="128"/>
      <c r="EE18" s="128"/>
      <c r="EF18" s="128"/>
      <c r="EG18" s="128"/>
      <c r="EH18" s="128"/>
      <c r="EI18" s="128"/>
      <c r="EJ18" s="128"/>
      <c r="EK18" s="128"/>
    </row>
    <row r="19" spans="1:141" x14ac:dyDescent="0.4">
      <c r="A19" s="74">
        <f t="shared" si="0"/>
        <v>7</v>
      </c>
      <c r="B19" s="74">
        <v>15</v>
      </c>
      <c r="C19" s="127">
        <f>DATE(Jaartal,February!$B$3,February!$B19)</f>
        <v>43876</v>
      </c>
      <c r="D19" s="104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6"/>
      <c r="AI19" s="104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6"/>
      <c r="BN19" s="104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6"/>
      <c r="CS19" s="104"/>
      <c r="CT19" s="105"/>
      <c r="CU19" s="105"/>
      <c r="CV19" s="105"/>
      <c r="CW19" s="105"/>
      <c r="CX19" s="105"/>
      <c r="CY19" s="105"/>
      <c r="CZ19" s="105"/>
      <c r="DA19" s="105"/>
      <c r="DB19" s="105"/>
      <c r="DC19" s="105"/>
      <c r="DD19" s="105"/>
      <c r="DE19" s="105"/>
      <c r="DF19" s="105"/>
      <c r="DG19" s="105"/>
      <c r="DH19" s="105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6"/>
      <c r="DX19" s="128"/>
      <c r="DY19" s="128"/>
      <c r="DZ19" s="128"/>
      <c r="EA19" s="128"/>
      <c r="EB19" s="128"/>
      <c r="EC19" s="128"/>
      <c r="ED19" s="128"/>
      <c r="EE19" s="128"/>
      <c r="EF19" s="128"/>
      <c r="EG19" s="128"/>
      <c r="EH19" s="128"/>
      <c r="EI19" s="128"/>
      <c r="EJ19" s="128"/>
      <c r="EK19" s="128"/>
    </row>
    <row r="20" spans="1:141" x14ac:dyDescent="0.4">
      <c r="A20" s="74">
        <f t="shared" si="0"/>
        <v>1</v>
      </c>
      <c r="B20" s="74">
        <v>16</v>
      </c>
      <c r="C20" s="127">
        <f>DATE(Jaartal,February!$B$3,February!$B20)</f>
        <v>43877</v>
      </c>
      <c r="D20" s="104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6"/>
      <c r="AI20" s="104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6"/>
      <c r="BN20" s="104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6"/>
      <c r="CS20" s="104"/>
      <c r="CT20" s="105"/>
      <c r="CU20" s="105"/>
      <c r="CV20" s="105"/>
      <c r="CW20" s="105"/>
      <c r="CX20" s="105"/>
      <c r="CY20" s="105"/>
      <c r="CZ20" s="105"/>
      <c r="DA20" s="105"/>
      <c r="DB20" s="105"/>
      <c r="DC20" s="105"/>
      <c r="DD20" s="105"/>
      <c r="DE20" s="105"/>
      <c r="DF20" s="105"/>
      <c r="DG20" s="105"/>
      <c r="DH20" s="105"/>
      <c r="DI20" s="107"/>
      <c r="DJ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U20" s="107"/>
      <c r="DV20" s="107"/>
      <c r="DW20" s="106"/>
      <c r="DX20" s="128"/>
      <c r="DY20" s="128"/>
      <c r="DZ20" s="128"/>
      <c r="EA20" s="128"/>
      <c r="EB20" s="128"/>
      <c r="EC20" s="128"/>
      <c r="ED20" s="128"/>
      <c r="EE20" s="128"/>
      <c r="EF20" s="128"/>
      <c r="EG20" s="128"/>
      <c r="EH20" s="128"/>
      <c r="EI20" s="128"/>
      <c r="EJ20" s="128"/>
      <c r="EK20" s="128"/>
    </row>
    <row r="21" spans="1:141" x14ac:dyDescent="0.4">
      <c r="A21" s="74">
        <f t="shared" si="0"/>
        <v>2</v>
      </c>
      <c r="B21" s="74">
        <v>17</v>
      </c>
      <c r="C21" s="127">
        <f>DATE(Jaartal,February!$B$3,February!$B21)</f>
        <v>43878</v>
      </c>
      <c r="D21" s="104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6"/>
      <c r="AI21" s="104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6"/>
      <c r="BN21" s="104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6"/>
      <c r="CS21" s="104"/>
      <c r="CT21" s="105"/>
      <c r="CU21" s="105"/>
      <c r="CV21" s="105"/>
      <c r="CW21" s="105"/>
      <c r="CX21" s="105"/>
      <c r="CY21" s="105"/>
      <c r="CZ21" s="105"/>
      <c r="DA21" s="105"/>
      <c r="DB21" s="105"/>
      <c r="DC21" s="105"/>
      <c r="DD21" s="105"/>
      <c r="DE21" s="105"/>
      <c r="DF21" s="105"/>
      <c r="DG21" s="105"/>
      <c r="DH21" s="105"/>
      <c r="DI21" s="107"/>
      <c r="DJ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U21" s="107"/>
      <c r="DV21" s="107"/>
      <c r="DW21" s="106"/>
      <c r="DX21" s="128"/>
      <c r="DY21" s="128"/>
      <c r="DZ21" s="128"/>
      <c r="EA21" s="128"/>
      <c r="EB21" s="128"/>
      <c r="EC21" s="128"/>
      <c r="ED21" s="128"/>
      <c r="EE21" s="128"/>
      <c r="EF21" s="128"/>
      <c r="EG21" s="128"/>
      <c r="EH21" s="128"/>
      <c r="EI21" s="128"/>
      <c r="EJ21" s="128"/>
      <c r="EK21" s="128"/>
    </row>
    <row r="22" spans="1:141" x14ac:dyDescent="0.4">
      <c r="A22" s="74">
        <f t="shared" si="0"/>
        <v>3</v>
      </c>
      <c r="B22" s="74">
        <v>18</v>
      </c>
      <c r="C22" s="127">
        <f>DATE(Jaartal,February!$B$3,February!$B22)</f>
        <v>43879</v>
      </c>
      <c r="D22" s="104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6"/>
      <c r="AI22" s="104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6"/>
      <c r="BN22" s="104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6"/>
      <c r="CS22" s="104"/>
      <c r="CT22" s="105"/>
      <c r="CU22" s="105"/>
      <c r="CV22" s="105"/>
      <c r="CW22" s="105"/>
      <c r="CX22" s="105"/>
      <c r="CY22" s="105"/>
      <c r="CZ22" s="105"/>
      <c r="DA22" s="105"/>
      <c r="DB22" s="105"/>
      <c r="DC22" s="105"/>
      <c r="DD22" s="105"/>
      <c r="DE22" s="105"/>
      <c r="DF22" s="105"/>
      <c r="DG22" s="105"/>
      <c r="DH22" s="105"/>
      <c r="DI22" s="107"/>
      <c r="DJ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U22" s="107"/>
      <c r="DV22" s="107"/>
      <c r="DW22" s="106"/>
      <c r="DX22" s="128"/>
      <c r="DY22" s="128"/>
      <c r="DZ22" s="128"/>
      <c r="EA22" s="128"/>
      <c r="EB22" s="128"/>
      <c r="EC22" s="128"/>
      <c r="ED22" s="128"/>
      <c r="EE22" s="128"/>
      <c r="EF22" s="128"/>
      <c r="EG22" s="128"/>
      <c r="EH22" s="128"/>
      <c r="EI22" s="128"/>
      <c r="EJ22" s="128"/>
      <c r="EK22" s="128"/>
    </row>
    <row r="23" spans="1:141" x14ac:dyDescent="0.4">
      <c r="A23" s="74">
        <f t="shared" si="0"/>
        <v>4</v>
      </c>
      <c r="B23" s="74">
        <v>19</v>
      </c>
      <c r="C23" s="127">
        <f>DATE(Jaartal,February!$B$3,February!$B23)</f>
        <v>43880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6"/>
      <c r="AI23" s="104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6"/>
      <c r="BN23" s="104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7"/>
      <c r="CE23" s="107"/>
      <c r="CF23" s="107"/>
      <c r="CG23" s="107"/>
      <c r="CH23" s="107"/>
      <c r="CI23" s="107"/>
      <c r="CJ23" s="107"/>
      <c r="CK23" s="107"/>
      <c r="CL23" s="107"/>
      <c r="CM23" s="107"/>
      <c r="CN23" s="107"/>
      <c r="CO23" s="107"/>
      <c r="CP23" s="107"/>
      <c r="CQ23" s="107"/>
      <c r="CR23" s="106"/>
      <c r="CS23" s="104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5"/>
      <c r="DH23" s="105"/>
      <c r="DI23" s="107"/>
      <c r="DJ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U23" s="107"/>
      <c r="DV23" s="107"/>
      <c r="DW23" s="106"/>
      <c r="DX23" s="128"/>
      <c r="DY23" s="128"/>
      <c r="DZ23" s="128"/>
      <c r="EA23" s="128"/>
      <c r="EB23" s="128"/>
      <c r="EC23" s="128"/>
      <c r="ED23" s="128"/>
      <c r="EE23" s="128"/>
      <c r="EF23" s="128"/>
      <c r="EG23" s="128"/>
      <c r="EH23" s="128"/>
      <c r="EI23" s="128"/>
      <c r="EJ23" s="128"/>
      <c r="EK23" s="128"/>
    </row>
    <row r="24" spans="1:141" x14ac:dyDescent="0.4">
      <c r="A24" s="74">
        <f t="shared" si="0"/>
        <v>5</v>
      </c>
      <c r="B24" s="74">
        <v>20</v>
      </c>
      <c r="C24" s="127">
        <f>DATE(Jaartal,February!$B$3,February!$B24)</f>
        <v>43881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6"/>
      <c r="AI24" s="104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6"/>
      <c r="BN24" s="104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6"/>
      <c r="DX24" s="128"/>
      <c r="DY24" s="128"/>
      <c r="DZ24" s="128"/>
      <c r="EA24" s="128"/>
      <c r="EB24" s="128"/>
      <c r="EC24" s="128"/>
      <c r="ED24" s="128"/>
      <c r="EE24" s="128"/>
      <c r="EF24" s="128"/>
      <c r="EG24" s="128"/>
      <c r="EH24" s="128"/>
      <c r="EI24" s="128"/>
      <c r="EJ24" s="128"/>
      <c r="EK24" s="128"/>
    </row>
    <row r="25" spans="1:141" x14ac:dyDescent="0.4">
      <c r="A25" s="74">
        <f t="shared" si="0"/>
        <v>6</v>
      </c>
      <c r="B25" s="74">
        <v>21</v>
      </c>
      <c r="C25" s="127">
        <f>DATE(Jaartal,February!$B$3,February!$B25)</f>
        <v>43882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6"/>
      <c r="AI25" s="104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6"/>
      <c r="BN25" s="104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U25" s="107"/>
      <c r="DV25" s="107"/>
      <c r="DW25" s="106"/>
      <c r="DX25" s="128"/>
      <c r="DY25" s="128"/>
      <c r="DZ25" s="128"/>
      <c r="EA25" s="128"/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</row>
    <row r="26" spans="1:141" x14ac:dyDescent="0.4">
      <c r="A26" s="74">
        <f t="shared" si="0"/>
        <v>7</v>
      </c>
      <c r="B26" s="74">
        <v>22</v>
      </c>
      <c r="C26" s="127">
        <f>DATE(Jaartal,February!$B$3,February!$B26)</f>
        <v>43883</v>
      </c>
      <c r="D26" s="104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6"/>
      <c r="AI26" s="104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6"/>
      <c r="BN26" s="104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6"/>
      <c r="CS26" s="104"/>
      <c r="CT26" s="105"/>
      <c r="CU26" s="105"/>
      <c r="CV26" s="105"/>
      <c r="CW26" s="105"/>
      <c r="CX26" s="105"/>
      <c r="CY26" s="105"/>
      <c r="CZ26" s="105"/>
      <c r="DA26" s="105"/>
      <c r="DB26" s="105"/>
      <c r="DC26" s="105"/>
      <c r="DD26" s="105"/>
      <c r="DE26" s="105"/>
      <c r="DF26" s="105"/>
      <c r="DG26" s="105"/>
      <c r="DH26" s="105"/>
      <c r="DI26" s="107"/>
      <c r="DJ26" s="107"/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U26" s="107"/>
      <c r="DV26" s="107"/>
      <c r="DW26" s="106"/>
      <c r="DX26" s="128"/>
      <c r="DY26" s="128"/>
      <c r="DZ26" s="128"/>
      <c r="EA26" s="128"/>
      <c r="EB26" s="128"/>
      <c r="EC26" s="128"/>
      <c r="ED26" s="128"/>
      <c r="EE26" s="128"/>
      <c r="EF26" s="128"/>
      <c r="EG26" s="128"/>
      <c r="EH26" s="128"/>
      <c r="EI26" s="128"/>
      <c r="EJ26" s="128"/>
      <c r="EK26" s="128"/>
    </row>
    <row r="27" spans="1:141" x14ac:dyDescent="0.4">
      <c r="A27" s="74">
        <f t="shared" si="0"/>
        <v>1</v>
      </c>
      <c r="B27" s="74">
        <v>23</v>
      </c>
      <c r="C27" s="127">
        <f>DATE(Jaartal,February!$B$3,February!$B27)</f>
        <v>43884</v>
      </c>
      <c r="D27" s="104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6"/>
      <c r="AI27" s="104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6"/>
      <c r="BN27" s="104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6"/>
      <c r="CS27" s="104"/>
      <c r="CT27" s="105"/>
      <c r="CU27" s="105"/>
      <c r="CV27" s="105"/>
      <c r="CW27" s="105"/>
      <c r="CX27" s="105"/>
      <c r="CY27" s="105"/>
      <c r="CZ27" s="105"/>
      <c r="DA27" s="105"/>
      <c r="DB27" s="105"/>
      <c r="DC27" s="105"/>
      <c r="DD27" s="105"/>
      <c r="DE27" s="105"/>
      <c r="DF27" s="105"/>
      <c r="DG27" s="105"/>
      <c r="DH27" s="105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U27" s="107"/>
      <c r="DV27" s="107"/>
      <c r="DW27" s="106"/>
      <c r="DX27" s="128"/>
      <c r="DY27" s="128"/>
      <c r="DZ27" s="128"/>
      <c r="EA27" s="128"/>
      <c r="EB27" s="128"/>
      <c r="EC27" s="128"/>
      <c r="ED27" s="128"/>
      <c r="EE27" s="128"/>
      <c r="EF27" s="128"/>
      <c r="EG27" s="128"/>
      <c r="EH27" s="128"/>
      <c r="EI27" s="128"/>
      <c r="EJ27" s="128"/>
      <c r="EK27" s="128"/>
    </row>
    <row r="28" spans="1:141" x14ac:dyDescent="0.4">
      <c r="A28" s="74">
        <f t="shared" si="0"/>
        <v>2</v>
      </c>
      <c r="B28" s="74">
        <v>24</v>
      </c>
      <c r="C28" s="127">
        <f>DATE(Jaartal,February!$B$3,February!$B28)</f>
        <v>43885</v>
      </c>
      <c r="D28" s="104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6"/>
      <c r="AI28" s="104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6"/>
      <c r="BN28" s="104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6"/>
      <c r="CS28" s="104"/>
      <c r="CT28" s="105"/>
      <c r="CU28" s="105"/>
      <c r="CV28" s="105"/>
      <c r="CW28" s="105"/>
      <c r="CX28" s="105"/>
      <c r="CY28" s="105"/>
      <c r="CZ28" s="105"/>
      <c r="DA28" s="105"/>
      <c r="DB28" s="105"/>
      <c r="DC28" s="105"/>
      <c r="DD28" s="105"/>
      <c r="DE28" s="105"/>
      <c r="DF28" s="105"/>
      <c r="DG28" s="105"/>
      <c r="DH28" s="105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6"/>
      <c r="DX28" s="128"/>
      <c r="DY28" s="128"/>
      <c r="DZ28" s="128"/>
      <c r="EA28" s="128"/>
      <c r="EB28" s="128"/>
      <c r="EC28" s="128"/>
      <c r="ED28" s="128"/>
      <c r="EE28" s="128"/>
      <c r="EF28" s="128"/>
      <c r="EG28" s="128"/>
      <c r="EH28" s="128"/>
      <c r="EI28" s="128"/>
      <c r="EJ28" s="128"/>
      <c r="EK28" s="128"/>
    </row>
    <row r="29" spans="1:141" x14ac:dyDescent="0.4">
      <c r="A29" s="74">
        <f t="shared" si="0"/>
        <v>3</v>
      </c>
      <c r="B29" s="74">
        <v>25</v>
      </c>
      <c r="C29" s="127">
        <f>DATE(Jaartal,February!$B$3,February!$B29)</f>
        <v>43886</v>
      </c>
      <c r="D29" s="104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6"/>
      <c r="AI29" s="104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6"/>
      <c r="BN29" s="104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6"/>
      <c r="CS29" s="104"/>
      <c r="CT29" s="105"/>
      <c r="CU29" s="105"/>
      <c r="CV29" s="105"/>
      <c r="CW29" s="105"/>
      <c r="CX29" s="105"/>
      <c r="CY29" s="105"/>
      <c r="CZ29" s="105"/>
      <c r="DA29" s="105"/>
      <c r="DB29" s="105"/>
      <c r="DC29" s="105"/>
      <c r="DD29" s="105"/>
      <c r="DE29" s="105"/>
      <c r="DF29" s="105"/>
      <c r="DG29" s="105"/>
      <c r="DH29" s="105"/>
      <c r="DI29" s="107"/>
      <c r="DJ29" s="107"/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U29" s="107"/>
      <c r="DV29" s="107"/>
      <c r="DW29" s="106"/>
      <c r="DX29" s="128"/>
      <c r="DY29" s="128"/>
      <c r="DZ29" s="128"/>
      <c r="EA29" s="128"/>
      <c r="EB29" s="128"/>
      <c r="EC29" s="128"/>
      <c r="ED29" s="128"/>
      <c r="EE29" s="128"/>
      <c r="EF29" s="128"/>
      <c r="EG29" s="128"/>
      <c r="EH29" s="128"/>
      <c r="EI29" s="128"/>
      <c r="EJ29" s="128"/>
      <c r="EK29" s="128"/>
    </row>
    <row r="30" spans="1:141" x14ac:dyDescent="0.4">
      <c r="A30" s="74">
        <f t="shared" si="0"/>
        <v>4</v>
      </c>
      <c r="B30" s="74">
        <v>26</v>
      </c>
      <c r="C30" s="127">
        <f>DATE(Jaartal,February!$B$3,February!$B30)</f>
        <v>43887</v>
      </c>
      <c r="D30" s="104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6"/>
      <c r="AI30" s="104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6"/>
      <c r="BN30" s="104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6"/>
      <c r="CS30" s="104"/>
      <c r="CT30" s="105"/>
      <c r="CU30" s="105"/>
      <c r="CV30" s="105"/>
      <c r="CW30" s="105"/>
      <c r="CX30" s="105"/>
      <c r="CY30" s="105"/>
      <c r="CZ30" s="105"/>
      <c r="DA30" s="105"/>
      <c r="DB30" s="105"/>
      <c r="DC30" s="105"/>
      <c r="DD30" s="105"/>
      <c r="DE30" s="105"/>
      <c r="DF30" s="105"/>
      <c r="DG30" s="105"/>
      <c r="DH30" s="105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U30" s="107"/>
      <c r="DV30" s="107"/>
      <c r="DW30" s="106"/>
      <c r="DX30" s="128"/>
      <c r="DY30" s="128"/>
      <c r="DZ30" s="128"/>
      <c r="EA30" s="128"/>
      <c r="EB30" s="128"/>
      <c r="EC30" s="128"/>
      <c r="ED30" s="128"/>
      <c r="EE30" s="128"/>
      <c r="EF30" s="128"/>
      <c r="EG30" s="128"/>
      <c r="EH30" s="128"/>
      <c r="EI30" s="128"/>
      <c r="EJ30" s="128"/>
      <c r="EK30" s="128"/>
    </row>
    <row r="31" spans="1:141" x14ac:dyDescent="0.4">
      <c r="A31" s="74">
        <f t="shared" si="0"/>
        <v>5</v>
      </c>
      <c r="B31" s="74">
        <v>27</v>
      </c>
      <c r="C31" s="127">
        <f>DATE(Jaartal,February!$B$3,February!$B31)</f>
        <v>43888</v>
      </c>
      <c r="D31" s="104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6"/>
      <c r="AI31" s="104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6"/>
      <c r="BN31" s="104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6"/>
      <c r="CS31" s="104"/>
      <c r="CT31" s="105"/>
      <c r="CU31" s="105"/>
      <c r="CV31" s="105"/>
      <c r="CW31" s="105"/>
      <c r="CX31" s="105"/>
      <c r="CY31" s="105"/>
      <c r="CZ31" s="105"/>
      <c r="DA31" s="105"/>
      <c r="DB31" s="105"/>
      <c r="DC31" s="105"/>
      <c r="DD31" s="105"/>
      <c r="DE31" s="105"/>
      <c r="DF31" s="105"/>
      <c r="DG31" s="105"/>
      <c r="DH31" s="105"/>
      <c r="DI31" s="107"/>
      <c r="DJ31" s="107"/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U31" s="107"/>
      <c r="DV31" s="107"/>
      <c r="DW31" s="106"/>
      <c r="DX31" s="128"/>
      <c r="DY31" s="128"/>
      <c r="DZ31" s="128"/>
      <c r="EA31" s="128"/>
      <c r="EB31" s="128"/>
      <c r="EC31" s="128"/>
      <c r="ED31" s="128"/>
      <c r="EE31" s="128"/>
      <c r="EF31" s="128"/>
      <c r="EG31" s="128"/>
      <c r="EH31" s="128"/>
      <c r="EI31" s="128"/>
      <c r="EJ31" s="128"/>
      <c r="EK31" s="128"/>
    </row>
    <row r="32" spans="1:141" x14ac:dyDescent="0.4">
      <c r="A32" s="74">
        <f t="shared" si="0"/>
        <v>6</v>
      </c>
      <c r="B32" s="74">
        <v>28</v>
      </c>
      <c r="C32" s="127">
        <f>DATE(Jaartal,February!$B$3,February!$B32)</f>
        <v>43889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6"/>
      <c r="AI32" s="104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6"/>
      <c r="BN32" s="104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6"/>
      <c r="CS32" s="104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6"/>
      <c r="DX32" s="128"/>
      <c r="DY32" s="128"/>
      <c r="DZ32" s="128"/>
      <c r="EA32" s="128"/>
      <c r="EB32" s="128"/>
      <c r="EC32" s="128"/>
      <c r="ED32" s="128"/>
      <c r="EE32" s="128"/>
      <c r="EF32" s="128"/>
      <c r="EG32" s="128"/>
      <c r="EH32" s="128"/>
      <c r="EI32" s="128"/>
      <c r="EJ32" s="128"/>
      <c r="EK32" s="128"/>
    </row>
    <row r="33" spans="1:141" x14ac:dyDescent="0.4">
      <c r="A33" s="74">
        <f t="shared" si="0"/>
        <v>7</v>
      </c>
      <c r="B33" s="74">
        <v>29</v>
      </c>
      <c r="C33" s="127">
        <f>DATE(Jaartal,February!$B$3,February!$B33)</f>
        <v>43890</v>
      </c>
      <c r="D33" s="104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6"/>
      <c r="AI33" s="104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6"/>
      <c r="BN33" s="104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6"/>
      <c r="CS33" s="104"/>
      <c r="CT33" s="105"/>
      <c r="CU33" s="105"/>
      <c r="CV33" s="105"/>
      <c r="CW33" s="105"/>
      <c r="CX33" s="105"/>
      <c r="CY33" s="105"/>
      <c r="CZ33" s="105"/>
      <c r="DA33" s="105"/>
      <c r="DB33" s="105"/>
      <c r="DC33" s="105"/>
      <c r="DD33" s="105"/>
      <c r="DE33" s="105"/>
      <c r="DF33" s="105"/>
      <c r="DG33" s="105"/>
      <c r="DH33" s="105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6"/>
      <c r="DX33" s="128"/>
      <c r="DY33" s="128"/>
      <c r="DZ33" s="128"/>
      <c r="EA33" s="128"/>
      <c r="EB33" s="128"/>
      <c r="EC33" s="128"/>
      <c r="ED33" s="128"/>
      <c r="EE33" s="128"/>
      <c r="EF33" s="128"/>
      <c r="EG33" s="128"/>
      <c r="EH33" s="128"/>
      <c r="EI33" s="128"/>
      <c r="EJ33" s="128"/>
      <c r="EK33" s="128"/>
    </row>
    <row r="34" spans="1:141" x14ac:dyDescent="0.4">
      <c r="A34" s="74">
        <f t="shared" si="0"/>
        <v>7</v>
      </c>
      <c r="B34" s="74">
        <v>30</v>
      </c>
      <c r="C34" s="127"/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6"/>
      <c r="AI34" s="104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6"/>
      <c r="BN34" s="104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6"/>
      <c r="CS34" s="104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5"/>
      <c r="DH34" s="105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6"/>
      <c r="DX34" s="128"/>
      <c r="DY34" s="128"/>
      <c r="DZ34" s="128"/>
      <c r="EA34" s="128"/>
      <c r="EB34" s="128"/>
      <c r="EC34" s="128"/>
      <c r="ED34" s="128"/>
      <c r="EE34" s="128"/>
      <c r="EF34" s="128"/>
      <c r="EG34" s="128"/>
      <c r="EH34" s="128"/>
      <c r="EI34" s="128"/>
      <c r="EJ34" s="128"/>
      <c r="EK34" s="128"/>
    </row>
    <row r="35" spans="1:141" x14ac:dyDescent="0.4">
      <c r="A35" s="74">
        <f t="shared" si="0"/>
        <v>7</v>
      </c>
      <c r="B35" s="74">
        <v>31</v>
      </c>
      <c r="C35" s="127"/>
      <c r="D35" s="104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6"/>
      <c r="AI35" s="104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6"/>
      <c r="BN35" s="104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6"/>
      <c r="CS35" s="108"/>
      <c r="CT35" s="105"/>
      <c r="CU35" s="105"/>
      <c r="CV35" s="105"/>
      <c r="CW35" s="105"/>
      <c r="CX35" s="105"/>
      <c r="CY35" s="105"/>
      <c r="CZ35" s="105"/>
      <c r="DA35" s="105"/>
      <c r="DB35" s="105"/>
      <c r="DC35" s="105"/>
      <c r="DD35" s="105"/>
      <c r="DE35" s="105"/>
      <c r="DF35" s="105"/>
      <c r="DG35" s="105"/>
      <c r="DH35" s="105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6"/>
      <c r="DX35" s="128"/>
      <c r="DY35" s="128"/>
      <c r="DZ35" s="128"/>
      <c r="EA35" s="128"/>
      <c r="EB35" s="128"/>
      <c r="EC35" s="128"/>
      <c r="ED35" s="128"/>
      <c r="EE35" s="128"/>
      <c r="EF35" s="128"/>
      <c r="EG35" s="128"/>
      <c r="EH35" s="128"/>
      <c r="EI35" s="128"/>
      <c r="EJ35" s="128"/>
      <c r="EK35" s="128"/>
    </row>
    <row r="36" spans="1:141" x14ac:dyDescent="0.4">
      <c r="BR36" s="128"/>
      <c r="BS36" s="128"/>
      <c r="BT36" s="128"/>
      <c r="BU36" s="128"/>
      <c r="BV36" s="128"/>
      <c r="BY36" s="128"/>
      <c r="BZ36" s="128"/>
      <c r="CB36" s="128"/>
      <c r="CC36" s="128"/>
      <c r="CD36" s="128"/>
      <c r="CE36" s="128"/>
      <c r="CF36" s="128"/>
      <c r="CG36" s="128"/>
      <c r="CH36" s="128"/>
      <c r="CI36" s="128"/>
      <c r="CJ36" s="128"/>
      <c r="CK36" s="128"/>
      <c r="CL36" s="128"/>
      <c r="CM36" s="128"/>
      <c r="CN36" s="128"/>
      <c r="CO36" s="128"/>
      <c r="CP36" s="128"/>
      <c r="CQ36" s="128"/>
      <c r="CW36" s="128"/>
      <c r="CX36" s="128"/>
      <c r="CY36" s="128"/>
      <c r="CZ36" s="128"/>
      <c r="DA36" s="128"/>
      <c r="DD36" s="128"/>
      <c r="DE36" s="128"/>
      <c r="DG36" s="128"/>
      <c r="DH36" s="128"/>
      <c r="DI36" s="128"/>
      <c r="DJ36" s="128"/>
      <c r="DK36" s="128"/>
      <c r="DL36" s="128"/>
      <c r="DM36" s="128"/>
      <c r="DN36" s="128"/>
      <c r="DO36" s="128"/>
      <c r="DP36" s="128"/>
      <c r="DQ36" s="128"/>
      <c r="DR36" s="128"/>
      <c r="DS36" s="128"/>
      <c r="DT36" s="128"/>
      <c r="DU36" s="128"/>
      <c r="DV36" s="128"/>
    </row>
    <row r="38" spans="1:141" ht="13.5" thickBot="1" x14ac:dyDescent="0.45"/>
    <row r="39" spans="1:141" ht="13.5" thickBot="1" x14ac:dyDescent="0.45">
      <c r="D39" s="109" t="s">
        <v>7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1"/>
    </row>
    <row r="40" spans="1:141" ht="13.5" thickBot="1" x14ac:dyDescent="0.45">
      <c r="D40" s="112">
        <v>1</v>
      </c>
      <c r="E40" s="113" t="s">
        <v>4</v>
      </c>
      <c r="F40" s="113"/>
      <c r="G40" s="113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5"/>
    </row>
    <row r="41" spans="1:141" ht="13.5" thickBot="1" x14ac:dyDescent="0.45">
      <c r="D41" s="116">
        <v>2</v>
      </c>
      <c r="E41" s="117" t="s">
        <v>79</v>
      </c>
      <c r="F41" s="117"/>
      <c r="G41" s="117"/>
      <c r="H41" s="117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9"/>
    </row>
    <row r="42" spans="1:141" ht="13.5" thickBot="1" x14ac:dyDescent="0.45">
      <c r="D42" s="120">
        <v>3</v>
      </c>
      <c r="E42" s="117" t="s">
        <v>66</v>
      </c>
      <c r="F42" s="117"/>
      <c r="G42" s="117"/>
      <c r="H42" s="117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9"/>
    </row>
    <row r="43" spans="1:141" ht="13.5" thickBot="1" x14ac:dyDescent="0.45">
      <c r="D43" s="121"/>
      <c r="E43" s="122" t="s">
        <v>80</v>
      </c>
      <c r="F43" s="122"/>
      <c r="G43" s="122"/>
      <c r="H43" s="12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4"/>
    </row>
    <row r="44" spans="1:141" x14ac:dyDescent="0.4">
      <c r="D44" s="129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1"/>
      <c r="AI44" s="131"/>
      <c r="AR44" s="130"/>
      <c r="AS44" s="130"/>
      <c r="AV44" s="130"/>
      <c r="BW44" s="130"/>
      <c r="BX44" s="130"/>
      <c r="CA44" s="130"/>
      <c r="DB44" s="130"/>
      <c r="DC44" s="130"/>
      <c r="DF44" s="130"/>
    </row>
    <row r="52" spans="33:34" x14ac:dyDescent="0.4">
      <c r="AG52" s="128"/>
      <c r="AH52" s="128"/>
    </row>
    <row r="53" spans="33:34" x14ac:dyDescent="0.4">
      <c r="AG53" s="128"/>
      <c r="AH53" s="128"/>
    </row>
    <row r="54" spans="33:34" x14ac:dyDescent="0.4">
      <c r="AG54" s="128"/>
      <c r="AH54" s="128"/>
    </row>
    <row r="55" spans="33:34" x14ac:dyDescent="0.4">
      <c r="AG55" s="128"/>
      <c r="AH55" s="128"/>
    </row>
    <row r="56" spans="33:34" x14ac:dyDescent="0.4">
      <c r="AG56" s="128"/>
      <c r="AH56" s="128"/>
    </row>
  </sheetData>
  <sheetProtection sheet="1" objects="1" scenarios="1" selectLockedCells="1"/>
  <mergeCells count="13">
    <mergeCell ref="D39:AI39"/>
    <mergeCell ref="E40:AI40"/>
    <mergeCell ref="E41:AI41"/>
    <mergeCell ref="E42:AI42"/>
    <mergeCell ref="E43:AI43"/>
    <mergeCell ref="D1:AH1"/>
    <mergeCell ref="AI1:BM1"/>
    <mergeCell ref="BN1:CR1"/>
    <mergeCell ref="CS1:DW1"/>
    <mergeCell ref="AH3:AH4"/>
    <mergeCell ref="BM3:BM4"/>
    <mergeCell ref="CR3:CR4"/>
    <mergeCell ref="DW3:DW4"/>
  </mergeCells>
  <conditionalFormatting sqref="D5:L35 O5:P35 AT5:AU35 BY5:BZ35 DD5:DE35 R5:AQ35 AW5:BV35 CB5:DA35 DG5:DW35">
    <cfRule type="expression" dxfId="427" priority="33" stopIfTrue="1">
      <formula>D5=3</formula>
    </cfRule>
    <cfRule type="expression" dxfId="426" priority="34" stopIfTrue="1">
      <formula>D5=2</formula>
    </cfRule>
    <cfRule type="expression" dxfId="425" priority="35" stopIfTrue="1">
      <formula>D5=1</formula>
    </cfRule>
    <cfRule type="expression" dxfId="424" priority="36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423" priority="29" stopIfTrue="1">
      <formula>M5=3</formula>
    </cfRule>
    <cfRule type="expression" dxfId="422" priority="30" stopIfTrue="1">
      <formula>M5=2</formula>
    </cfRule>
    <cfRule type="expression" dxfId="421" priority="31" stopIfTrue="1">
      <formula>M5=1</formula>
    </cfRule>
    <cfRule type="expression" dxfId="420" priority="32" stopIfTrue="1">
      <formula>IF($A5=1,1,IF($A5=7,1,IF(M$2="Q",IF($A5=2,IF($B5&lt;8,IF(MOD($B$3,3)&lt;&gt;0,1,0),1),1),IF(M$2="M",IF($A5=2,IF($B5&gt;7,1,0),1),IF(M$2="W",IF($A5=2,0,1),0)))))</formula>
    </cfRule>
  </conditionalFormatting>
  <conditionalFormatting sqref="AR5:AS35">
    <cfRule type="expression" dxfId="419" priority="25" stopIfTrue="1">
      <formula>AR5=3</formula>
    </cfRule>
    <cfRule type="expression" dxfId="418" priority="26" stopIfTrue="1">
      <formula>AR5=2</formula>
    </cfRule>
    <cfRule type="expression" dxfId="417" priority="27" stopIfTrue="1">
      <formula>AR5=1</formula>
    </cfRule>
    <cfRule type="expression" dxfId="416" priority="28" stopIfTrue="1">
      <formula>IF($A5=1,1,IF($A5=7,1,IF(AR$2="Q",IF($A5=2,IF($B5&lt;8,IF(MOD($B$3,3)&lt;&gt;0,1,0),1),1),IF(AR$2="M",IF($A5=2,IF($B5&gt;7,1,0),1),IF(AR$2="W",IF($A5=2,0,1),0)))))</formula>
    </cfRule>
  </conditionalFormatting>
  <conditionalFormatting sqref="BW5:BX35">
    <cfRule type="expression" dxfId="415" priority="21" stopIfTrue="1">
      <formula>BW5=3</formula>
    </cfRule>
    <cfRule type="expression" dxfId="414" priority="22" stopIfTrue="1">
      <formula>BW5=2</formula>
    </cfRule>
    <cfRule type="expression" dxfId="413" priority="23" stopIfTrue="1">
      <formula>BW5=1</formula>
    </cfRule>
    <cfRule type="expression" dxfId="412" priority="24" stopIfTrue="1">
      <formula>IF($A5=1,1,IF($A5=7,1,IF(BW$2="Q",IF($A5=2,IF($B5&lt;8,IF(MOD($B$3,3)&lt;&gt;0,1,0),1),1),IF(BW$2="M",IF($A5=2,IF($B5&gt;7,1,0),1),IF(BW$2="W",IF($A5=2,0,1),0)))))</formula>
    </cfRule>
  </conditionalFormatting>
  <conditionalFormatting sqref="DB5:DC35">
    <cfRule type="expression" dxfId="411" priority="17" stopIfTrue="1">
      <formula>DB5=3</formula>
    </cfRule>
    <cfRule type="expression" dxfId="410" priority="18" stopIfTrue="1">
      <formula>DB5=2</formula>
    </cfRule>
    <cfRule type="expression" dxfId="409" priority="19" stopIfTrue="1">
      <formula>DB5=1</formula>
    </cfRule>
    <cfRule type="expression" dxfId="408" priority="20" stopIfTrue="1">
      <formula>IF($A5=1,1,IF($A5=7,1,IF(DB$2="Q",IF($A5=2,IF($B5&lt;8,IF(MOD($B$3,3)&lt;&gt;0,1,0),1),1),IF(DB$2="M",IF($A5=2,IF($B5&gt;7,1,0),1),IF(DB$2="W",IF($A5=2,0,1),0)))))</formula>
    </cfRule>
  </conditionalFormatting>
  <conditionalFormatting sqref="Q5:Q35">
    <cfRule type="expression" dxfId="407" priority="13" stopIfTrue="1">
      <formula>Q5=3</formula>
    </cfRule>
    <cfRule type="expression" dxfId="406" priority="14" stopIfTrue="1">
      <formula>Q5=2</formula>
    </cfRule>
    <cfRule type="expression" dxfId="405" priority="15" stopIfTrue="1">
      <formula>Q5=1</formula>
    </cfRule>
    <cfRule type="expression" dxfId="404" priority="16" stopIfTrue="1">
      <formula>IF($A5=1,1,IF($A5=7,1,IF(Q$2="Q",IF($A5=2,IF($B5&lt;8,IF(MOD($B$3,3)&lt;&gt;0,1,0),1),1),IF(Q$2="M",IF($A5=2,IF($B5&gt;7,1,0),1),IF(Q$2="W",IF($A5=2,0,1),0)))))</formula>
    </cfRule>
  </conditionalFormatting>
  <conditionalFormatting sqref="AV5:AV35">
    <cfRule type="expression" dxfId="403" priority="9" stopIfTrue="1">
      <formula>AV5=3</formula>
    </cfRule>
    <cfRule type="expression" dxfId="402" priority="10" stopIfTrue="1">
      <formula>AV5=2</formula>
    </cfRule>
    <cfRule type="expression" dxfId="401" priority="11" stopIfTrue="1">
      <formula>AV5=1</formula>
    </cfRule>
    <cfRule type="expression" dxfId="400" priority="12" stopIfTrue="1">
      <formula>IF($A5=1,1,IF($A5=7,1,IF(AV$2="Q",IF($A5=2,IF($B5&lt;8,IF(MOD($B$3,3)&lt;&gt;0,1,0),1),1),IF(AV$2="M",IF($A5=2,IF($B5&gt;7,1,0),1),IF(AV$2="W",IF($A5=2,0,1),0)))))</formula>
    </cfRule>
  </conditionalFormatting>
  <conditionalFormatting sqref="CA5:CA35">
    <cfRule type="expression" dxfId="399" priority="5" stopIfTrue="1">
      <formula>CA5=3</formula>
    </cfRule>
    <cfRule type="expression" dxfId="398" priority="6" stopIfTrue="1">
      <formula>CA5=2</formula>
    </cfRule>
    <cfRule type="expression" dxfId="397" priority="7" stopIfTrue="1">
      <formula>CA5=1</formula>
    </cfRule>
    <cfRule type="expression" dxfId="396" priority="8" stopIfTrue="1">
      <formula>IF($A5=1,1,IF($A5=7,1,IF(CA$2="Q",IF($A5=2,IF($B5&lt;8,IF(MOD($B$3,3)&lt;&gt;0,1,0),1),1),IF(CA$2="M",IF($A5=2,IF($B5&gt;7,1,0),1),IF(CA$2="W",IF($A5=2,0,1),0)))))</formula>
    </cfRule>
  </conditionalFormatting>
  <conditionalFormatting sqref="DF5:DF35">
    <cfRule type="expression" dxfId="395" priority="1" stopIfTrue="1">
      <formula>DF5=3</formula>
    </cfRule>
    <cfRule type="expression" dxfId="394" priority="2" stopIfTrue="1">
      <formula>DF5=2</formula>
    </cfRule>
    <cfRule type="expression" dxfId="393" priority="3" stopIfTrue="1">
      <formula>DF5=1</formula>
    </cfRule>
    <cfRule type="expression" dxfId="392" priority="4" stopIfTrue="1">
      <formula>IF($A5=1,1,IF($A5=7,1,IF(DF$2="Q",IF($A5=2,IF($B5&lt;8,IF(MOD($B$3,3)&lt;&gt;0,1,0),1),1),IF(DF$2="M",IF($A5=2,IF($B5&gt;7,1,0),1),IF(DF$2="W",IF($A5=2,0,1),0)))))</formula>
    </cfRule>
  </conditionalFormatting>
  <dataValidations count="4">
    <dataValidation type="list" allowBlank="1" showInputMessage="1" showErrorMessage="1" sqref="DB2:DC2 AR2:AS2 BW2:BX2 D2:AG2 AV2 CA2 DF2" xr:uid="{83F15FC5-C0A5-427D-A044-1EEFA1C7005B}">
      <formula1>"D,W,M,Q"</formula1>
    </dataValidation>
    <dataValidation type="list" allowBlank="1" showInputMessage="1" showErrorMessage="1" sqref="DW5:DW35 CR5:CR35 BM5:BM35 AH5:AH35" xr:uid="{26E4396B-304C-4076-AFF7-52061AF1FB36}">
      <formula1>List_Personen</formula1>
    </dataValidation>
    <dataValidation type="list" allowBlank="1" showInputMessage="1" showErrorMessage="1" sqref="C3" xr:uid="{22BDC75B-3B07-489A-8C1B-F298BE3B01D2}">
      <formula1>List_Maanden</formula1>
    </dataValidation>
    <dataValidation type="list" allowBlank="1" showInputMessage="1" showErrorMessage="1" sqref="BN5:CQ35 D5:AG35 AI5:BL35 CS5:DV35" xr:uid="{5EA48D6B-D54E-4B74-AA76-05C84591F587}">
      <formula1>Status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43C75-76B9-4F19-B74E-A76F8611A931}">
  <sheetPr codeName="Sheet5"/>
  <dimension ref="A1:EK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3.15" x14ac:dyDescent="0.4"/>
  <cols>
    <col min="1" max="1" width="8.796875" style="74" hidden="1" customWidth="1"/>
    <col min="2" max="2" width="4.265625" style="74" hidden="1" customWidth="1"/>
    <col min="3" max="3" width="25.73046875" style="74" bestFit="1" customWidth="1"/>
    <col min="4" max="5" width="3.19921875" style="74" bestFit="1" customWidth="1"/>
    <col min="6" max="8" width="3.19921875" style="74" customWidth="1"/>
    <col min="9" max="10" width="3.19921875" style="74" bestFit="1" customWidth="1"/>
    <col min="11" max="18" width="3.19921875" style="74" customWidth="1"/>
    <col min="19" max="19" width="3.19921875" style="74" bestFit="1" customWidth="1"/>
    <col min="20" max="24" width="3.19921875" style="74" customWidth="1"/>
    <col min="25" max="25" width="3.19921875" style="74" bestFit="1" customWidth="1"/>
    <col min="26" max="32" width="3.19921875" style="74" customWidth="1"/>
    <col min="33" max="33" width="2.73046875" style="74" bestFit="1" customWidth="1"/>
    <col min="34" max="34" width="14" style="74" bestFit="1" customWidth="1"/>
    <col min="35" max="39" width="3.19921875" style="74" bestFit="1" customWidth="1"/>
    <col min="40" max="46" width="3.19921875" style="74" customWidth="1"/>
    <col min="47" max="47" width="3.19921875" style="74" bestFit="1" customWidth="1"/>
    <col min="48" max="48" width="3.19921875" style="74" customWidth="1"/>
    <col min="49" max="49" width="3.19921875" style="74" bestFit="1" customWidth="1"/>
    <col min="50" max="50" width="2.73046875" style="74" bestFit="1" customWidth="1"/>
    <col min="51" max="64" width="2.73046875" style="74" customWidth="1"/>
    <col min="65" max="65" width="14" style="74" bestFit="1" customWidth="1"/>
    <col min="66" max="70" width="3.19921875" style="74" bestFit="1" customWidth="1"/>
    <col min="71" max="77" width="3.19921875" style="74" customWidth="1"/>
    <col min="78" max="78" width="3.19921875" style="74" bestFit="1" customWidth="1"/>
    <col min="79" max="79" width="3.19921875" style="74" customWidth="1"/>
    <col min="80" max="80" width="3.19921875" style="74" bestFit="1" customWidth="1"/>
    <col min="81" max="81" width="2.73046875" style="74" bestFit="1" customWidth="1"/>
    <col min="82" max="95" width="2.73046875" style="74" customWidth="1"/>
    <col min="96" max="96" width="14" style="74" bestFit="1" customWidth="1"/>
    <col min="97" max="102" width="3.19921875" style="74" bestFit="1" customWidth="1"/>
    <col min="103" max="110" width="3.19921875" style="74" customWidth="1"/>
    <col min="111" max="111" width="3.19921875" style="74" bestFit="1" customWidth="1"/>
    <col min="112" max="112" width="2.73046875" style="74" bestFit="1" customWidth="1"/>
    <col min="113" max="126" width="2.73046875" style="74" customWidth="1"/>
    <col min="127" max="127" width="14" style="74" bestFit="1" customWidth="1"/>
    <col min="128" max="128" width="6" style="74" customWidth="1"/>
    <col min="129" max="16384" width="9.06640625" style="74"/>
  </cols>
  <sheetData>
    <row r="1" spans="1:141" ht="18.399999999999999" thickBot="1" x14ac:dyDescent="0.6">
      <c r="C1" s="75" t="s">
        <v>5</v>
      </c>
      <c r="D1" s="76" t="s">
        <v>44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8"/>
      <c r="AI1" s="79" t="s">
        <v>45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1"/>
      <c r="BN1" s="82" t="s">
        <v>46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4"/>
      <c r="CS1" s="85" t="s">
        <v>47</v>
      </c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7"/>
    </row>
    <row r="2" spans="1:141" ht="13.5" thickBot="1" x14ac:dyDescent="0.45">
      <c r="A2" s="74" t="s">
        <v>13</v>
      </c>
      <c r="B2" s="74" t="s">
        <v>14</v>
      </c>
      <c r="C2" s="88" t="s">
        <v>3</v>
      </c>
      <c r="D2" s="89" t="str">
        <f>+Template!D2</f>
        <v>D</v>
      </c>
      <c r="E2" s="90" t="str">
        <f>+Template!E2</f>
        <v>D</v>
      </c>
      <c r="F2" s="90" t="str">
        <f>+Template!F2</f>
        <v>D</v>
      </c>
      <c r="G2" s="90" t="str">
        <f>+Template!G2</f>
        <v>D</v>
      </c>
      <c r="H2" s="90" t="str">
        <f>+Template!H2</f>
        <v>D</v>
      </c>
      <c r="I2" s="91" t="str">
        <f>+Template!I2</f>
        <v>D</v>
      </c>
      <c r="J2" s="91" t="str">
        <f>+Template!J2</f>
        <v>D</v>
      </c>
      <c r="K2" s="91" t="str">
        <f>+Template!K2</f>
        <v>D</v>
      </c>
      <c r="L2" s="91" t="str">
        <f>+Template!L2</f>
        <v>D</v>
      </c>
      <c r="M2" s="91" t="s">
        <v>2</v>
      </c>
      <c r="N2" s="91" t="s">
        <v>2</v>
      </c>
      <c r="O2" s="91" t="str">
        <f>+Template!O2</f>
        <v>D</v>
      </c>
      <c r="P2" s="91" t="str">
        <f>+Template!P2</f>
        <v>D</v>
      </c>
      <c r="Q2" s="91" t="s">
        <v>2</v>
      </c>
      <c r="R2" s="91" t="str">
        <f>+Template!R2</f>
        <v>D</v>
      </c>
      <c r="S2" s="91" t="str">
        <f>+Template!S2</f>
        <v>D</v>
      </c>
      <c r="T2" s="91" t="str">
        <f>+Template!T2</f>
        <v>D</v>
      </c>
      <c r="U2" s="91" t="str">
        <f>+Template!U2</f>
        <v>D</v>
      </c>
      <c r="V2" s="91" t="str">
        <f>+Template!V2</f>
        <v>D</v>
      </c>
      <c r="W2" s="91" t="str">
        <f>+Template!W2</f>
        <v>D</v>
      </c>
      <c r="X2" s="91" t="str">
        <f>+Template!X2</f>
        <v>W</v>
      </c>
      <c r="Y2" s="91" t="str">
        <f>+Template!Y2</f>
        <v>W</v>
      </c>
      <c r="Z2" s="91" t="str">
        <f>+Template!Z2</f>
        <v>W</v>
      </c>
      <c r="AA2" s="91" t="str">
        <f>+Template!AA2</f>
        <v>W</v>
      </c>
      <c r="AB2" s="91" t="str">
        <f>+Template!AB2</f>
        <v>M</v>
      </c>
      <c r="AC2" s="91" t="str">
        <f>+Template!AC2</f>
        <v>M</v>
      </c>
      <c r="AD2" s="91" t="str">
        <f>+Template!AD2</f>
        <v>M</v>
      </c>
      <c r="AE2" s="91" t="str">
        <f>+Template!AE2</f>
        <v>M</v>
      </c>
      <c r="AF2" s="91" t="str">
        <f>+Template!AF2</f>
        <v>Q</v>
      </c>
      <c r="AG2" s="91" t="str">
        <f>+Template!AG2</f>
        <v>Q</v>
      </c>
      <c r="AH2" s="92"/>
      <c r="AI2" s="89" t="str">
        <f>+Template!D2</f>
        <v>D</v>
      </c>
      <c r="AJ2" s="90" t="str">
        <f>+Template!E2</f>
        <v>D</v>
      </c>
      <c r="AK2" s="90" t="str">
        <f>+Template!F2</f>
        <v>D</v>
      </c>
      <c r="AL2" s="90" t="str">
        <f>+Template!G2</f>
        <v>D</v>
      </c>
      <c r="AM2" s="90" t="str">
        <f>+Template!H2</f>
        <v>D</v>
      </c>
      <c r="AN2" s="90" t="str">
        <f>+Template!I2</f>
        <v>D</v>
      </c>
      <c r="AO2" s="90" t="str">
        <f>+Template!J2</f>
        <v>D</v>
      </c>
      <c r="AP2" s="90" t="str">
        <f>+Template!K2</f>
        <v>D</v>
      </c>
      <c r="AQ2" s="90" t="str">
        <f>+Template!L2</f>
        <v>D</v>
      </c>
      <c r="AR2" s="91" t="s">
        <v>2</v>
      </c>
      <c r="AS2" s="91" t="s">
        <v>2</v>
      </c>
      <c r="AT2" s="90" t="str">
        <f>+Template!O2</f>
        <v>D</v>
      </c>
      <c r="AU2" s="91" t="str">
        <f>+Template!P2</f>
        <v>D</v>
      </c>
      <c r="AV2" s="91" t="s">
        <v>2</v>
      </c>
      <c r="AW2" s="91" t="str">
        <f>+Template!R2</f>
        <v>D</v>
      </c>
      <c r="AX2" s="91" t="str">
        <f>+Template!S2</f>
        <v>D</v>
      </c>
      <c r="AY2" s="91" t="str">
        <f>+Template!T2</f>
        <v>D</v>
      </c>
      <c r="AZ2" s="91" t="str">
        <f>+Template!U2</f>
        <v>D</v>
      </c>
      <c r="BA2" s="91" t="str">
        <f>+Template!V2</f>
        <v>D</v>
      </c>
      <c r="BB2" s="91" t="str">
        <f>+Template!W2</f>
        <v>D</v>
      </c>
      <c r="BC2" s="91" t="str">
        <f>+Template!X2</f>
        <v>W</v>
      </c>
      <c r="BD2" s="91" t="str">
        <f>+Template!Y2</f>
        <v>W</v>
      </c>
      <c r="BE2" s="91" t="str">
        <f>+Template!Z2</f>
        <v>W</v>
      </c>
      <c r="BF2" s="91" t="str">
        <f>+Template!AA2</f>
        <v>W</v>
      </c>
      <c r="BG2" s="91" t="str">
        <f>+Template!AB2</f>
        <v>M</v>
      </c>
      <c r="BH2" s="91" t="str">
        <f>+Template!AC2</f>
        <v>M</v>
      </c>
      <c r="BI2" s="91" t="str">
        <f>+Template!AD2</f>
        <v>M</v>
      </c>
      <c r="BJ2" s="91" t="str">
        <f>+Template!AE2</f>
        <v>M</v>
      </c>
      <c r="BK2" s="91" t="str">
        <f>+Template!AF2</f>
        <v>Q</v>
      </c>
      <c r="BL2" s="91" t="str">
        <f>+Template!AG2</f>
        <v>Q</v>
      </c>
      <c r="BM2" s="92"/>
      <c r="BN2" s="89" t="str">
        <f>+Template!D2</f>
        <v>D</v>
      </c>
      <c r="BO2" s="90" t="str">
        <f>+Template!E2</f>
        <v>D</v>
      </c>
      <c r="BP2" s="90" t="str">
        <f>+Template!F2</f>
        <v>D</v>
      </c>
      <c r="BQ2" s="90" t="str">
        <f>+Template!G2</f>
        <v>D</v>
      </c>
      <c r="BR2" s="90" t="str">
        <f>+Template!H2</f>
        <v>D</v>
      </c>
      <c r="BS2" s="90" t="str">
        <f>+Template!I2</f>
        <v>D</v>
      </c>
      <c r="BT2" s="90" t="str">
        <f>+Template!J2</f>
        <v>D</v>
      </c>
      <c r="BU2" s="90" t="str">
        <f>+Template!K2</f>
        <v>D</v>
      </c>
      <c r="BV2" s="90" t="str">
        <f>+Template!L2</f>
        <v>D</v>
      </c>
      <c r="BW2" s="91" t="s">
        <v>2</v>
      </c>
      <c r="BX2" s="91" t="s">
        <v>2</v>
      </c>
      <c r="BY2" s="90" t="str">
        <f>+Template!O2</f>
        <v>D</v>
      </c>
      <c r="BZ2" s="91" t="str">
        <f>+Template!P2</f>
        <v>D</v>
      </c>
      <c r="CA2" s="91" t="s">
        <v>2</v>
      </c>
      <c r="CB2" s="91" t="str">
        <f>+Template!R2</f>
        <v>D</v>
      </c>
      <c r="CC2" s="91" t="str">
        <f>+Template!S2</f>
        <v>D</v>
      </c>
      <c r="CD2" s="91" t="str">
        <f>+Template!T2</f>
        <v>D</v>
      </c>
      <c r="CE2" s="91" t="str">
        <f>+Template!U2</f>
        <v>D</v>
      </c>
      <c r="CF2" s="91" t="str">
        <f>+Template!V2</f>
        <v>D</v>
      </c>
      <c r="CG2" s="91" t="str">
        <f>+Template!W2</f>
        <v>D</v>
      </c>
      <c r="CH2" s="91" t="str">
        <f>+Template!X2</f>
        <v>W</v>
      </c>
      <c r="CI2" s="91" t="str">
        <f>+Template!Y2</f>
        <v>W</v>
      </c>
      <c r="CJ2" s="91" t="str">
        <f>+Template!Z2</f>
        <v>W</v>
      </c>
      <c r="CK2" s="91" t="str">
        <f>+Template!AA2</f>
        <v>W</v>
      </c>
      <c r="CL2" s="91" t="str">
        <f>+Template!AB2</f>
        <v>M</v>
      </c>
      <c r="CM2" s="91" t="str">
        <f>+Template!AC2</f>
        <v>M</v>
      </c>
      <c r="CN2" s="91" t="str">
        <f>+Template!AD2</f>
        <v>M</v>
      </c>
      <c r="CO2" s="91" t="str">
        <f>+Template!AE2</f>
        <v>M</v>
      </c>
      <c r="CP2" s="91" t="str">
        <f>+Template!AF2</f>
        <v>Q</v>
      </c>
      <c r="CQ2" s="91" t="str">
        <f>+Template!AG2</f>
        <v>Q</v>
      </c>
      <c r="CR2" s="92"/>
      <c r="CS2" s="89" t="str">
        <f>+Template!D2</f>
        <v>D</v>
      </c>
      <c r="CT2" s="90" t="str">
        <f>+Template!E2</f>
        <v>D</v>
      </c>
      <c r="CU2" s="90" t="str">
        <f>+Template!F2</f>
        <v>D</v>
      </c>
      <c r="CV2" s="90" t="str">
        <f>+Template!G2</f>
        <v>D</v>
      </c>
      <c r="CW2" s="90" t="str">
        <f>+Template!H2</f>
        <v>D</v>
      </c>
      <c r="CX2" s="91" t="str">
        <f>+Template!I2</f>
        <v>D</v>
      </c>
      <c r="CY2" s="91" t="str">
        <f>+Template!J2</f>
        <v>D</v>
      </c>
      <c r="CZ2" s="91" t="str">
        <f>+Template!K2</f>
        <v>D</v>
      </c>
      <c r="DA2" s="91" t="str">
        <f>+Template!L2</f>
        <v>D</v>
      </c>
      <c r="DB2" s="91" t="s">
        <v>2</v>
      </c>
      <c r="DC2" s="91" t="s">
        <v>2</v>
      </c>
      <c r="DD2" s="91" t="str">
        <f>+Template!O2</f>
        <v>D</v>
      </c>
      <c r="DE2" s="91" t="str">
        <f>+Template!P2</f>
        <v>D</v>
      </c>
      <c r="DF2" s="91" t="s">
        <v>2</v>
      </c>
      <c r="DG2" s="91" t="str">
        <f>+Template!R2</f>
        <v>D</v>
      </c>
      <c r="DH2" s="91" t="str">
        <f>+Template!S2</f>
        <v>D</v>
      </c>
      <c r="DI2" s="91" t="str">
        <f>+Template!T2</f>
        <v>D</v>
      </c>
      <c r="DJ2" s="91" t="str">
        <f>+Template!U2</f>
        <v>D</v>
      </c>
      <c r="DK2" s="91" t="str">
        <f>+Template!V2</f>
        <v>D</v>
      </c>
      <c r="DL2" s="91" t="str">
        <f>+Template!W2</f>
        <v>D</v>
      </c>
      <c r="DM2" s="91" t="str">
        <f>+Template!X2</f>
        <v>W</v>
      </c>
      <c r="DN2" s="91" t="str">
        <f>+Template!Y2</f>
        <v>W</v>
      </c>
      <c r="DO2" s="91" t="str">
        <f>+Template!Z2</f>
        <v>W</v>
      </c>
      <c r="DP2" s="91" t="str">
        <f>+Template!AA2</f>
        <v>W</v>
      </c>
      <c r="DQ2" s="91" t="str">
        <f>+Template!AB2</f>
        <v>M</v>
      </c>
      <c r="DR2" s="91" t="str">
        <f>+Template!AC2</f>
        <v>M</v>
      </c>
      <c r="DS2" s="91" t="str">
        <f>+Template!AD2</f>
        <v>M</v>
      </c>
      <c r="DT2" s="91" t="str">
        <f>+Template!AE2</f>
        <v>M</v>
      </c>
      <c r="DU2" s="91" t="str">
        <f>+Template!AF2</f>
        <v>Q</v>
      </c>
      <c r="DV2" s="91" t="str">
        <f>+Template!AG2</f>
        <v>Q</v>
      </c>
      <c r="DW2" s="92"/>
    </row>
    <row r="3" spans="1:141" ht="150" x14ac:dyDescent="0.4">
      <c r="B3" s="74">
        <f>VLOOKUP(C3,Data!E2:F13,2,FALSE)</f>
        <v>3</v>
      </c>
      <c r="C3" s="93" t="s">
        <v>59</v>
      </c>
      <c r="D3" s="94" t="str">
        <f>+Template!D3</f>
        <v>Quick environment check</v>
      </c>
      <c r="E3" s="95" t="str">
        <f>+Template!E3</f>
        <v>Health Analyzer Issues</v>
      </c>
      <c r="F3" s="95" t="str">
        <f>+Template!F3</f>
        <v>Content Database Status</v>
      </c>
      <c r="G3" s="95" t="str">
        <f>+Template!G3</f>
        <v>Upgrade Status Servers</v>
      </c>
      <c r="H3" s="95" t="str">
        <f>+Template!H3</f>
        <v>Upgrade Status Databases</v>
      </c>
      <c r="I3" s="95" t="str">
        <f>+Template!I3</f>
        <v>Failed Timer Jobs</v>
      </c>
      <c r="J3" s="95" t="str">
        <f>+Template!J3</f>
        <v>Deployment Status Solutions</v>
      </c>
      <c r="K3" s="95" t="str">
        <f>+Template!K3</f>
        <v>Content Database Size</v>
      </c>
      <c r="L3" s="95" t="str">
        <f>+Template!L3</f>
        <v>Service Application Status</v>
      </c>
      <c r="M3" s="95" t="s">
        <v>98</v>
      </c>
      <c r="N3" s="95" t="s">
        <v>99</v>
      </c>
      <c r="O3" s="95" t="str">
        <f>+Template!O3</f>
        <v>Search Topology</v>
      </c>
      <c r="P3" s="95" t="str">
        <f>+Template!P3</f>
        <v>Search Gatherer Logs</v>
      </c>
      <c r="Q3" s="95" t="s">
        <v>100</v>
      </c>
      <c r="R3" s="95" t="str">
        <f>+Template!R3</f>
        <v>Last Boot Time</v>
      </c>
      <c r="S3" s="95" t="str">
        <f>+Template!S3</f>
        <v>Running Services Check</v>
      </c>
      <c r="T3" s="95" t="str">
        <f>+Template!T3</f>
        <v>Scheduled Tasks</v>
      </c>
      <c r="U3" s="95" t="str">
        <f>+Template!U3</f>
        <v>Running websites en application pools</v>
      </c>
      <c r="V3" s="95" t="str">
        <f>+Template!V3</f>
        <v>Group Membership Check</v>
      </c>
      <c r="W3" s="95" t="str">
        <f>+Template!W3</f>
        <v>Backup Status</v>
      </c>
      <c r="X3" s="95" t="str">
        <f>+Template!X3</f>
        <v>Permissions Check</v>
      </c>
      <c r="Y3" s="95" t="str">
        <f>+Template!Y3</f>
        <v>New Updates</v>
      </c>
      <c r="Z3" s="95" t="str">
        <f>+Template!Z3</f>
        <v>Baseline Settings</v>
      </c>
      <c r="AA3" s="95" t="str">
        <f>+Template!AA3</f>
        <v>Access Check</v>
      </c>
      <c r="AB3" s="95" t="str">
        <f>+Template!AB3</f>
        <v>Missing Security Updates/Service Packs</v>
      </c>
      <c r="AC3" s="95" t="str">
        <f>+Template!AC3</f>
        <v>Policy Compliance</v>
      </c>
      <c r="AD3" s="95" t="str">
        <f>+Template!AD3</f>
        <v>Documentation Check</v>
      </c>
      <c r="AE3" s="95" t="str">
        <f>+Template!AE3</f>
        <v>SSL Certificates Check</v>
      </c>
      <c r="AF3" s="95" t="str">
        <f>+Template!AF3</f>
        <v>Disaster Recovery Test</v>
      </c>
      <c r="AG3" s="95" t="str">
        <f>+Template!AG3</f>
        <v>Lifecycle Check</v>
      </c>
      <c r="AH3" s="96" t="str">
        <f>+Template!AH3</f>
        <v>Performed by:</v>
      </c>
      <c r="AI3" s="94" t="str">
        <f>+Template!D3</f>
        <v>Quick environment check</v>
      </c>
      <c r="AJ3" s="95" t="str">
        <f>+Template!E3</f>
        <v>Health Analyzer Issues</v>
      </c>
      <c r="AK3" s="95" t="str">
        <f>+Template!F3</f>
        <v>Content Database Status</v>
      </c>
      <c r="AL3" s="95" t="str">
        <f>+Template!G3</f>
        <v>Upgrade Status Servers</v>
      </c>
      <c r="AM3" s="95" t="str">
        <f>+Template!H3</f>
        <v>Upgrade Status Databases</v>
      </c>
      <c r="AN3" s="95" t="str">
        <f>+Template!I3</f>
        <v>Failed Timer Jobs</v>
      </c>
      <c r="AO3" s="95" t="str">
        <f>+Template!J3</f>
        <v>Deployment Status Solutions</v>
      </c>
      <c r="AP3" s="95" t="str">
        <f>+Template!K3</f>
        <v>Content Database Size</v>
      </c>
      <c r="AQ3" s="95" t="str">
        <f>+Template!L3</f>
        <v>Service Application Status</v>
      </c>
      <c r="AR3" s="95" t="s">
        <v>98</v>
      </c>
      <c r="AS3" s="95" t="s">
        <v>99</v>
      </c>
      <c r="AT3" s="95" t="str">
        <f>+Template!O3</f>
        <v>Search Topology</v>
      </c>
      <c r="AU3" s="95" t="str">
        <f>+Template!P3</f>
        <v>Search Gatherer Logs</v>
      </c>
      <c r="AV3" s="95" t="s">
        <v>100</v>
      </c>
      <c r="AW3" s="95" t="str">
        <f>+Template!R3</f>
        <v>Last Boot Time</v>
      </c>
      <c r="AX3" s="95" t="str">
        <f>+Template!S3</f>
        <v>Running Services Check</v>
      </c>
      <c r="AY3" s="95" t="str">
        <f>+Template!T3</f>
        <v>Scheduled Tasks</v>
      </c>
      <c r="AZ3" s="95" t="str">
        <f>+Template!U3</f>
        <v>Running websites en application pools</v>
      </c>
      <c r="BA3" s="95" t="str">
        <f>+Template!V3</f>
        <v>Group Membership Check</v>
      </c>
      <c r="BB3" s="95" t="str">
        <f>+Template!W3</f>
        <v>Backup Status</v>
      </c>
      <c r="BC3" s="95" t="str">
        <f>+Template!X3</f>
        <v>Permissions Check</v>
      </c>
      <c r="BD3" s="95" t="str">
        <f>+Template!Y3</f>
        <v>New Updates</v>
      </c>
      <c r="BE3" s="95" t="str">
        <f>+Template!Z3</f>
        <v>Baseline Settings</v>
      </c>
      <c r="BF3" s="95" t="str">
        <f>+Template!AA3</f>
        <v>Access Check</v>
      </c>
      <c r="BG3" s="95" t="str">
        <f>+Template!AB3</f>
        <v>Missing Security Updates/Service Packs</v>
      </c>
      <c r="BH3" s="95" t="str">
        <f>+Template!AC3</f>
        <v>Policy Compliance</v>
      </c>
      <c r="BI3" s="95" t="str">
        <f>+Template!AD3</f>
        <v>Documentation Check</v>
      </c>
      <c r="BJ3" s="95" t="str">
        <f>+Template!AE3</f>
        <v>SSL Certificates Check</v>
      </c>
      <c r="BK3" s="95" t="str">
        <f>+Template!AF3</f>
        <v>Disaster Recovery Test</v>
      </c>
      <c r="BL3" s="95" t="str">
        <f>+Template!AG3</f>
        <v>Lifecycle Check</v>
      </c>
      <c r="BM3" s="96" t="str">
        <f>+Template!AH3</f>
        <v>Performed by:</v>
      </c>
      <c r="BN3" s="94" t="str">
        <f>+Template!D3</f>
        <v>Quick environment check</v>
      </c>
      <c r="BO3" s="95" t="str">
        <f>+Template!E3</f>
        <v>Health Analyzer Issues</v>
      </c>
      <c r="BP3" s="95" t="str">
        <f>+Template!F3</f>
        <v>Content Database Status</v>
      </c>
      <c r="BQ3" s="95" t="str">
        <f>+Template!G3</f>
        <v>Upgrade Status Servers</v>
      </c>
      <c r="BR3" s="95" t="str">
        <f>+Template!H3</f>
        <v>Upgrade Status Databases</v>
      </c>
      <c r="BS3" s="95" t="str">
        <f>+Template!I3</f>
        <v>Failed Timer Jobs</v>
      </c>
      <c r="BT3" s="95" t="str">
        <f>+Template!J3</f>
        <v>Deployment Status Solutions</v>
      </c>
      <c r="BU3" s="95" t="str">
        <f>+Template!K3</f>
        <v>Content Database Size</v>
      </c>
      <c r="BV3" s="95" t="str">
        <f>+Template!L3</f>
        <v>Service Application Status</v>
      </c>
      <c r="BW3" s="95" t="s">
        <v>98</v>
      </c>
      <c r="BX3" s="95" t="s">
        <v>99</v>
      </c>
      <c r="BY3" s="95" t="str">
        <f>+Template!O3</f>
        <v>Search Topology</v>
      </c>
      <c r="BZ3" s="95" t="str">
        <f>+Template!P3</f>
        <v>Search Gatherer Logs</v>
      </c>
      <c r="CA3" s="95" t="s">
        <v>100</v>
      </c>
      <c r="CB3" s="95" t="str">
        <f>+Template!R3</f>
        <v>Last Boot Time</v>
      </c>
      <c r="CC3" s="95" t="str">
        <f>+Template!S3</f>
        <v>Running Services Check</v>
      </c>
      <c r="CD3" s="95" t="str">
        <f>+Template!T3</f>
        <v>Scheduled Tasks</v>
      </c>
      <c r="CE3" s="95" t="str">
        <f>+Template!U3</f>
        <v>Running websites en application pools</v>
      </c>
      <c r="CF3" s="95" t="str">
        <f>+Template!V3</f>
        <v>Group Membership Check</v>
      </c>
      <c r="CG3" s="95" t="str">
        <f>+Template!W3</f>
        <v>Backup Status</v>
      </c>
      <c r="CH3" s="95" t="str">
        <f>+Template!X3</f>
        <v>Permissions Check</v>
      </c>
      <c r="CI3" s="95" t="str">
        <f>+Template!Y3</f>
        <v>New Updates</v>
      </c>
      <c r="CJ3" s="95" t="str">
        <f>+Template!Z3</f>
        <v>Baseline Settings</v>
      </c>
      <c r="CK3" s="95" t="str">
        <f>+Template!AA3</f>
        <v>Access Check</v>
      </c>
      <c r="CL3" s="95" t="str">
        <f>+Template!AB3</f>
        <v>Missing Security Updates/Service Packs</v>
      </c>
      <c r="CM3" s="95" t="str">
        <f>+Template!AC3</f>
        <v>Policy Compliance</v>
      </c>
      <c r="CN3" s="95" t="str">
        <f>+Template!AD3</f>
        <v>Documentation Check</v>
      </c>
      <c r="CO3" s="95" t="str">
        <f>+Template!AE3</f>
        <v>SSL Certificates Check</v>
      </c>
      <c r="CP3" s="95" t="str">
        <f>+Template!AF3</f>
        <v>Disaster Recovery Test</v>
      </c>
      <c r="CQ3" s="95" t="str">
        <f>+Template!AG3</f>
        <v>Lifecycle Check</v>
      </c>
      <c r="CR3" s="96" t="str">
        <f>+Template!AH3</f>
        <v>Performed by:</v>
      </c>
      <c r="CS3" s="94" t="str">
        <f>+Template!D3</f>
        <v>Quick environment check</v>
      </c>
      <c r="CT3" s="95" t="str">
        <f>+Template!E3</f>
        <v>Health Analyzer Issues</v>
      </c>
      <c r="CU3" s="95" t="str">
        <f>+Template!F3</f>
        <v>Content Database Status</v>
      </c>
      <c r="CV3" s="95" t="str">
        <f>+Template!G3</f>
        <v>Upgrade Status Servers</v>
      </c>
      <c r="CW3" s="95" t="str">
        <f>+Template!H3</f>
        <v>Upgrade Status Databases</v>
      </c>
      <c r="CX3" s="95" t="str">
        <f>+Template!I3</f>
        <v>Failed Timer Jobs</v>
      </c>
      <c r="CY3" s="95" t="str">
        <f>+Template!J3</f>
        <v>Deployment Status Solutions</v>
      </c>
      <c r="CZ3" s="95" t="str">
        <f>+Template!K3</f>
        <v>Content Database Size</v>
      </c>
      <c r="DA3" s="95" t="str">
        <f>+Template!L3</f>
        <v>Service Application Status</v>
      </c>
      <c r="DB3" s="95" t="s">
        <v>98</v>
      </c>
      <c r="DC3" s="95" t="s">
        <v>99</v>
      </c>
      <c r="DD3" s="95" t="str">
        <f>+Template!O3</f>
        <v>Search Topology</v>
      </c>
      <c r="DE3" s="95" t="str">
        <f>+Template!P3</f>
        <v>Search Gatherer Logs</v>
      </c>
      <c r="DF3" s="95" t="s">
        <v>100</v>
      </c>
      <c r="DG3" s="95" t="str">
        <f>+Template!R3</f>
        <v>Last Boot Time</v>
      </c>
      <c r="DH3" s="95" t="str">
        <f>+Template!S3</f>
        <v>Running Services Check</v>
      </c>
      <c r="DI3" s="95" t="str">
        <f>+Template!T3</f>
        <v>Scheduled Tasks</v>
      </c>
      <c r="DJ3" s="95" t="str">
        <f>+Template!U3</f>
        <v>Running websites en application pools</v>
      </c>
      <c r="DK3" s="95" t="str">
        <f>+Template!V3</f>
        <v>Group Membership Check</v>
      </c>
      <c r="DL3" s="95" t="str">
        <f>+Template!W3</f>
        <v>Backup Status</v>
      </c>
      <c r="DM3" s="95" t="str">
        <f>+Template!X3</f>
        <v>Permissions Check</v>
      </c>
      <c r="DN3" s="95" t="str">
        <f>+Template!Y3</f>
        <v>New Updates</v>
      </c>
      <c r="DO3" s="95" t="str">
        <f>+Template!Z3</f>
        <v>Baseline Settings</v>
      </c>
      <c r="DP3" s="95" t="str">
        <f>+Template!AA3</f>
        <v>Access Check</v>
      </c>
      <c r="DQ3" s="95" t="str">
        <f>+Template!AB3</f>
        <v>Missing Security Updates/Service Packs</v>
      </c>
      <c r="DR3" s="95" t="str">
        <f>+Template!AC3</f>
        <v>Policy Compliance</v>
      </c>
      <c r="DS3" s="95" t="str">
        <f>+Template!AD3</f>
        <v>Documentation Check</v>
      </c>
      <c r="DT3" s="95" t="str">
        <f>+Template!AE3</f>
        <v>SSL Certificates Check</v>
      </c>
      <c r="DU3" s="95" t="str">
        <f>+Template!AF3</f>
        <v>Disaster Recovery Test</v>
      </c>
      <c r="DV3" s="95" t="str">
        <f>+Template!AG3</f>
        <v>Lifecycle Check</v>
      </c>
      <c r="DW3" s="96" t="str">
        <f>+Template!AH3</f>
        <v>Performed by:</v>
      </c>
      <c r="DX3" s="125"/>
      <c r="DY3" s="126"/>
      <c r="DZ3" s="126"/>
      <c r="EA3" s="126"/>
    </row>
    <row r="4" spans="1:141" ht="23.25" customHeight="1" thickBot="1" x14ac:dyDescent="0.45">
      <c r="C4" s="97">
        <f>Jaartal</f>
        <v>2020</v>
      </c>
      <c r="D4" s="94">
        <f>+Template!D4</f>
        <v>1</v>
      </c>
      <c r="E4" s="95">
        <f>+Template!E4</f>
        <v>10</v>
      </c>
      <c r="F4" s="95">
        <f>+Template!F4</f>
        <v>11</v>
      </c>
      <c r="G4" s="95">
        <f>+Template!G4</f>
        <v>12</v>
      </c>
      <c r="H4" s="95">
        <f>+Template!H4</f>
        <v>13</v>
      </c>
      <c r="I4" s="95">
        <f>+Template!I4</f>
        <v>14</v>
      </c>
      <c r="J4" s="95">
        <f>+Template!J4</f>
        <v>15</v>
      </c>
      <c r="K4" s="95">
        <f>+Template!K4</f>
        <v>16</v>
      </c>
      <c r="L4" s="95">
        <f>+Template!L4</f>
        <v>17</v>
      </c>
      <c r="M4" s="95">
        <v>18</v>
      </c>
      <c r="N4" s="95">
        <v>19</v>
      </c>
      <c r="O4" s="95">
        <f>+Template!O4</f>
        <v>20</v>
      </c>
      <c r="P4" s="95">
        <f>+Template!P4</f>
        <v>21</v>
      </c>
      <c r="Q4" s="95">
        <v>22</v>
      </c>
      <c r="R4" s="95">
        <f>+Template!R4</f>
        <v>30</v>
      </c>
      <c r="S4" s="95">
        <f>+Template!S4</f>
        <v>31</v>
      </c>
      <c r="T4" s="95">
        <f>+Template!T4</f>
        <v>32</v>
      </c>
      <c r="U4" s="95">
        <f>+Template!U4</f>
        <v>33</v>
      </c>
      <c r="V4" s="95">
        <f>+Template!V4</f>
        <v>34</v>
      </c>
      <c r="W4" s="95">
        <f>+Template!W4</f>
        <v>40</v>
      </c>
      <c r="X4" s="95" t="str">
        <f>+Template!X4</f>
        <v>W01</v>
      </c>
      <c r="Y4" s="95" t="str">
        <f>+Template!Y4</f>
        <v>W02</v>
      </c>
      <c r="Z4" s="95" t="str">
        <f>+Template!Z4</f>
        <v>W03</v>
      </c>
      <c r="AA4" s="95" t="str">
        <f>+Template!AA4</f>
        <v>W04</v>
      </c>
      <c r="AB4" s="95" t="str">
        <f>+Template!AB4</f>
        <v>M01</v>
      </c>
      <c r="AC4" s="95" t="str">
        <f>+Template!AC4</f>
        <v>M02</v>
      </c>
      <c r="AD4" s="95" t="str">
        <f>+Template!AD4</f>
        <v>M03</v>
      </c>
      <c r="AE4" s="95" t="str">
        <f>+Template!AE4</f>
        <v>M04</v>
      </c>
      <c r="AF4" s="95" t="str">
        <f>+Template!AF4</f>
        <v>Q01</v>
      </c>
      <c r="AG4" s="95" t="str">
        <f>+Template!AG4</f>
        <v>Q02</v>
      </c>
      <c r="AH4" s="98"/>
      <c r="AI4" s="94">
        <f>+Template!D4</f>
        <v>1</v>
      </c>
      <c r="AJ4" s="95">
        <f>+Template!E4</f>
        <v>10</v>
      </c>
      <c r="AK4" s="95">
        <f>+Template!F4</f>
        <v>11</v>
      </c>
      <c r="AL4" s="95">
        <f>+Template!G4</f>
        <v>12</v>
      </c>
      <c r="AM4" s="95">
        <f>+Template!H4</f>
        <v>13</v>
      </c>
      <c r="AN4" s="95">
        <f>+Template!I4</f>
        <v>14</v>
      </c>
      <c r="AO4" s="95">
        <f>+Template!J4</f>
        <v>15</v>
      </c>
      <c r="AP4" s="95">
        <f>+Template!K4</f>
        <v>16</v>
      </c>
      <c r="AQ4" s="95">
        <f>+Template!L4</f>
        <v>17</v>
      </c>
      <c r="AR4" s="95">
        <v>18</v>
      </c>
      <c r="AS4" s="95">
        <v>19</v>
      </c>
      <c r="AT4" s="95">
        <f>+Template!O4</f>
        <v>20</v>
      </c>
      <c r="AU4" s="95">
        <f>+Template!P4</f>
        <v>21</v>
      </c>
      <c r="AV4" s="95">
        <v>22</v>
      </c>
      <c r="AW4" s="95">
        <f>+Template!R4</f>
        <v>30</v>
      </c>
      <c r="AX4" s="95">
        <f>+Template!S4</f>
        <v>31</v>
      </c>
      <c r="AY4" s="95">
        <f>+Template!T4</f>
        <v>32</v>
      </c>
      <c r="AZ4" s="95">
        <f>+Template!U4</f>
        <v>33</v>
      </c>
      <c r="BA4" s="95">
        <f>+Template!V4</f>
        <v>34</v>
      </c>
      <c r="BB4" s="95">
        <f>+Template!W4</f>
        <v>40</v>
      </c>
      <c r="BC4" s="95" t="str">
        <f>+Template!X4</f>
        <v>W01</v>
      </c>
      <c r="BD4" s="95" t="str">
        <f>+Template!Y4</f>
        <v>W02</v>
      </c>
      <c r="BE4" s="95" t="str">
        <f>+Template!Z4</f>
        <v>W03</v>
      </c>
      <c r="BF4" s="95" t="str">
        <f>+Template!AA4</f>
        <v>W04</v>
      </c>
      <c r="BG4" s="95" t="str">
        <f>+Template!AB4</f>
        <v>M01</v>
      </c>
      <c r="BH4" s="95" t="str">
        <f>+Template!AC4</f>
        <v>M02</v>
      </c>
      <c r="BI4" s="95" t="str">
        <f>+Template!AD4</f>
        <v>M03</v>
      </c>
      <c r="BJ4" s="95" t="str">
        <f>+Template!AE4</f>
        <v>M04</v>
      </c>
      <c r="BK4" s="95" t="str">
        <f>+Template!AF4</f>
        <v>Q01</v>
      </c>
      <c r="BL4" s="95" t="str">
        <f>+Template!AG4</f>
        <v>Q02</v>
      </c>
      <c r="BM4" s="98"/>
      <c r="BN4" s="94">
        <f>+Template!D4</f>
        <v>1</v>
      </c>
      <c r="BO4" s="95">
        <f>+Template!E4</f>
        <v>10</v>
      </c>
      <c r="BP4" s="95">
        <f>+Template!F4</f>
        <v>11</v>
      </c>
      <c r="BQ4" s="95">
        <f>+Template!G4</f>
        <v>12</v>
      </c>
      <c r="BR4" s="95">
        <f>+Template!H4</f>
        <v>13</v>
      </c>
      <c r="BS4" s="95">
        <f>+Template!I4</f>
        <v>14</v>
      </c>
      <c r="BT4" s="95">
        <f>+Template!J4</f>
        <v>15</v>
      </c>
      <c r="BU4" s="95">
        <f>+Template!K4</f>
        <v>16</v>
      </c>
      <c r="BV4" s="95">
        <f>+Template!L4</f>
        <v>17</v>
      </c>
      <c r="BW4" s="95">
        <v>18</v>
      </c>
      <c r="BX4" s="95">
        <v>19</v>
      </c>
      <c r="BY4" s="95">
        <f>+Template!O4</f>
        <v>20</v>
      </c>
      <c r="BZ4" s="95">
        <f>+Template!P4</f>
        <v>21</v>
      </c>
      <c r="CA4" s="95">
        <v>22</v>
      </c>
      <c r="CB4" s="95">
        <f>+Template!R4</f>
        <v>30</v>
      </c>
      <c r="CC4" s="95">
        <f>+Template!S4</f>
        <v>31</v>
      </c>
      <c r="CD4" s="95">
        <f>+Template!T4</f>
        <v>32</v>
      </c>
      <c r="CE4" s="95">
        <f>+Template!U4</f>
        <v>33</v>
      </c>
      <c r="CF4" s="95">
        <f>+Template!V4</f>
        <v>34</v>
      </c>
      <c r="CG4" s="95">
        <f>+Template!W4</f>
        <v>40</v>
      </c>
      <c r="CH4" s="95" t="str">
        <f>+Template!X4</f>
        <v>W01</v>
      </c>
      <c r="CI4" s="95" t="str">
        <f>+Template!Y4</f>
        <v>W02</v>
      </c>
      <c r="CJ4" s="95" t="str">
        <f>+Template!Z4</f>
        <v>W03</v>
      </c>
      <c r="CK4" s="95" t="str">
        <f>+Template!AA4</f>
        <v>W04</v>
      </c>
      <c r="CL4" s="95" t="str">
        <f>+Template!AB4</f>
        <v>M01</v>
      </c>
      <c r="CM4" s="95" t="str">
        <f>+Template!AC4</f>
        <v>M02</v>
      </c>
      <c r="CN4" s="95" t="str">
        <f>+Template!AD4</f>
        <v>M03</v>
      </c>
      <c r="CO4" s="95" t="str">
        <f>+Template!AE4</f>
        <v>M04</v>
      </c>
      <c r="CP4" s="95" t="str">
        <f>+Template!AF4</f>
        <v>Q01</v>
      </c>
      <c r="CQ4" s="95" t="str">
        <f>+Template!AG4</f>
        <v>Q02</v>
      </c>
      <c r="CR4" s="98"/>
      <c r="CS4" s="94">
        <f>+Template!D4</f>
        <v>1</v>
      </c>
      <c r="CT4" s="95">
        <f>+Template!E4</f>
        <v>10</v>
      </c>
      <c r="CU4" s="95">
        <f>+Template!F4</f>
        <v>11</v>
      </c>
      <c r="CV4" s="95">
        <f>+Template!G4</f>
        <v>12</v>
      </c>
      <c r="CW4" s="95">
        <f>+Template!H4</f>
        <v>13</v>
      </c>
      <c r="CX4" s="95">
        <f>+Template!I4</f>
        <v>14</v>
      </c>
      <c r="CY4" s="95">
        <f>+Template!J4</f>
        <v>15</v>
      </c>
      <c r="CZ4" s="95">
        <f>+Template!K4</f>
        <v>16</v>
      </c>
      <c r="DA4" s="95">
        <f>+Template!L4</f>
        <v>17</v>
      </c>
      <c r="DB4" s="95">
        <v>18</v>
      </c>
      <c r="DC4" s="95">
        <v>19</v>
      </c>
      <c r="DD4" s="95">
        <f>+Template!O4</f>
        <v>20</v>
      </c>
      <c r="DE4" s="95">
        <f>+Template!P4</f>
        <v>21</v>
      </c>
      <c r="DF4" s="95">
        <v>22</v>
      </c>
      <c r="DG4" s="95">
        <f>+Template!R4</f>
        <v>30</v>
      </c>
      <c r="DH4" s="95">
        <f>+Template!S4</f>
        <v>31</v>
      </c>
      <c r="DI4" s="95">
        <f>+Template!T4</f>
        <v>32</v>
      </c>
      <c r="DJ4" s="95">
        <f>+Template!U4</f>
        <v>33</v>
      </c>
      <c r="DK4" s="95">
        <f>+Template!V4</f>
        <v>34</v>
      </c>
      <c r="DL4" s="95">
        <f>+Template!W4</f>
        <v>40</v>
      </c>
      <c r="DM4" s="95" t="str">
        <f>+Template!X4</f>
        <v>W01</v>
      </c>
      <c r="DN4" s="95" t="str">
        <f>+Template!Y4</f>
        <v>W02</v>
      </c>
      <c r="DO4" s="95" t="str">
        <f>+Template!Z4</f>
        <v>W03</v>
      </c>
      <c r="DP4" s="95" t="str">
        <f>+Template!AA4</f>
        <v>W04</v>
      </c>
      <c r="DQ4" s="95" t="str">
        <f>+Template!AB4</f>
        <v>M01</v>
      </c>
      <c r="DR4" s="95" t="str">
        <f>+Template!AC4</f>
        <v>M02</v>
      </c>
      <c r="DS4" s="95" t="str">
        <f>+Template!AD4</f>
        <v>M03</v>
      </c>
      <c r="DT4" s="95" t="str">
        <f>+Template!AE4</f>
        <v>M04</v>
      </c>
      <c r="DU4" s="95" t="str">
        <f>+Template!AF4</f>
        <v>Q01</v>
      </c>
      <c r="DV4" s="95" t="str">
        <f>+Template!AG4</f>
        <v>Q02</v>
      </c>
      <c r="DW4" s="98"/>
      <c r="DX4" s="125"/>
      <c r="DY4" s="126"/>
      <c r="DZ4" s="126"/>
      <c r="EA4" s="126"/>
    </row>
    <row r="5" spans="1:141" x14ac:dyDescent="0.4">
      <c r="A5" s="74">
        <f>WEEKDAY(C5)</f>
        <v>1</v>
      </c>
      <c r="B5" s="74">
        <v>1</v>
      </c>
      <c r="C5" s="127">
        <f>DATE(Jaartal,March!$B$3,March!$B5)</f>
        <v>43891</v>
      </c>
      <c r="D5" s="100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2"/>
      <c r="AI5" s="100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2"/>
      <c r="BN5" s="100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2"/>
      <c r="CS5" s="100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3"/>
      <c r="DJ5" s="103"/>
      <c r="DK5" s="103"/>
      <c r="DL5" s="103"/>
      <c r="DM5" s="103"/>
      <c r="DN5" s="103"/>
      <c r="DO5" s="103"/>
      <c r="DP5" s="103"/>
      <c r="DQ5" s="103"/>
      <c r="DR5" s="103"/>
      <c r="DS5" s="103"/>
      <c r="DT5" s="103"/>
      <c r="DU5" s="103"/>
      <c r="DV5" s="103"/>
      <c r="DW5" s="102"/>
      <c r="DX5" s="128"/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</row>
    <row r="6" spans="1:141" x14ac:dyDescent="0.4">
      <c r="A6" s="74">
        <f t="shared" ref="A6:A35" si="0">WEEKDAY(C6)</f>
        <v>2</v>
      </c>
      <c r="B6" s="74">
        <v>2</v>
      </c>
      <c r="C6" s="127">
        <f>DATE(Jaartal,March!$B$3,March!$B6)</f>
        <v>43892</v>
      </c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6"/>
      <c r="AI6" s="104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6"/>
      <c r="BN6" s="104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6"/>
      <c r="CS6" s="104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6"/>
      <c r="DX6" s="128"/>
      <c r="DY6" s="128"/>
      <c r="DZ6" s="128"/>
      <c r="EA6" s="128"/>
      <c r="EB6" s="128"/>
      <c r="EC6" s="128"/>
      <c r="ED6" s="128"/>
      <c r="EE6" s="128"/>
      <c r="EF6" s="128"/>
      <c r="EG6" s="128"/>
      <c r="EH6" s="128"/>
      <c r="EI6" s="128"/>
      <c r="EJ6" s="128"/>
      <c r="EK6" s="128"/>
    </row>
    <row r="7" spans="1:141" x14ac:dyDescent="0.4">
      <c r="A7" s="74">
        <f t="shared" si="0"/>
        <v>3</v>
      </c>
      <c r="B7" s="74">
        <v>3</v>
      </c>
      <c r="C7" s="127">
        <f>DATE(Jaartal,March!$B$3,March!$B7)</f>
        <v>43893</v>
      </c>
      <c r="D7" s="104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6"/>
      <c r="AI7" s="104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6"/>
      <c r="BN7" s="104"/>
      <c r="BO7" s="105"/>
      <c r="BP7" s="105"/>
      <c r="BQ7" s="105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6"/>
      <c r="CS7" s="104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6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</row>
    <row r="8" spans="1:141" x14ac:dyDescent="0.4">
      <c r="A8" s="74">
        <f t="shared" si="0"/>
        <v>4</v>
      </c>
      <c r="B8" s="74">
        <v>4</v>
      </c>
      <c r="C8" s="127">
        <f>DATE(Jaartal,March!$B$3,March!$B8)</f>
        <v>43894</v>
      </c>
      <c r="D8" s="104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6"/>
      <c r="AI8" s="104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6"/>
      <c r="BN8" s="104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6"/>
      <c r="CS8" s="104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/>
      <c r="DT8" s="107"/>
      <c r="DU8" s="107"/>
      <c r="DV8" s="107"/>
      <c r="DW8" s="106"/>
      <c r="DX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</row>
    <row r="9" spans="1:141" x14ac:dyDescent="0.4">
      <c r="A9" s="74">
        <f t="shared" si="0"/>
        <v>5</v>
      </c>
      <c r="B9" s="74">
        <v>5</v>
      </c>
      <c r="C9" s="127">
        <f>DATE(Jaartal,March!$B$3,March!$B9)</f>
        <v>43895</v>
      </c>
      <c r="D9" s="104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6"/>
      <c r="AI9" s="104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6"/>
      <c r="BN9" s="104"/>
      <c r="BO9" s="105"/>
      <c r="BP9" s="105"/>
      <c r="BQ9" s="105"/>
      <c r="BR9" s="105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6"/>
      <c r="CS9" s="104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5"/>
      <c r="DH9" s="105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6"/>
      <c r="DX9" s="128"/>
      <c r="DY9" s="128"/>
      <c r="DZ9" s="128"/>
      <c r="EA9" s="128"/>
      <c r="EB9" s="128"/>
      <c r="EC9" s="128"/>
      <c r="ED9" s="128"/>
      <c r="EE9" s="128"/>
      <c r="EF9" s="128"/>
      <c r="EG9" s="128"/>
      <c r="EH9" s="128"/>
      <c r="EI9" s="128"/>
      <c r="EJ9" s="128"/>
      <c r="EK9" s="128"/>
    </row>
    <row r="10" spans="1:141" x14ac:dyDescent="0.4">
      <c r="A10" s="74">
        <f t="shared" si="0"/>
        <v>6</v>
      </c>
      <c r="B10" s="74">
        <v>6</v>
      </c>
      <c r="C10" s="127">
        <f>DATE(Jaartal,March!$B$3,March!$B10)</f>
        <v>43896</v>
      </c>
      <c r="D10" s="104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6"/>
      <c r="AI10" s="104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6"/>
      <c r="BN10" s="104"/>
      <c r="BO10" s="105"/>
      <c r="BP10" s="105"/>
      <c r="BQ10" s="105"/>
      <c r="BR10" s="105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6"/>
      <c r="CS10" s="104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5"/>
      <c r="DH10" s="105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6"/>
      <c r="DX10" s="128"/>
      <c r="DY10" s="128"/>
      <c r="DZ10" s="128"/>
      <c r="EA10" s="128"/>
      <c r="EB10" s="128"/>
      <c r="EC10" s="128"/>
      <c r="ED10" s="128"/>
      <c r="EE10" s="128"/>
      <c r="EF10" s="128"/>
      <c r="EG10" s="128"/>
      <c r="EH10" s="128"/>
      <c r="EI10" s="128"/>
      <c r="EJ10" s="128"/>
      <c r="EK10" s="128"/>
    </row>
    <row r="11" spans="1:141" x14ac:dyDescent="0.4">
      <c r="A11" s="74">
        <f t="shared" si="0"/>
        <v>7</v>
      </c>
      <c r="B11" s="74">
        <v>7</v>
      </c>
      <c r="C11" s="127">
        <f>DATE(Jaartal,March!$B$3,March!$B11)</f>
        <v>43897</v>
      </c>
      <c r="D11" s="104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6"/>
      <c r="AI11" s="104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6"/>
      <c r="BN11" s="104"/>
      <c r="BO11" s="105"/>
      <c r="BP11" s="105"/>
      <c r="BQ11" s="105"/>
      <c r="BR11" s="105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6"/>
      <c r="CS11" s="104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5"/>
      <c r="DH11" s="105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6"/>
      <c r="DX11" s="128"/>
      <c r="DY11" s="128"/>
      <c r="DZ11" s="128"/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</row>
    <row r="12" spans="1:141" x14ac:dyDescent="0.4">
      <c r="A12" s="74">
        <f t="shared" si="0"/>
        <v>1</v>
      </c>
      <c r="B12" s="74">
        <v>8</v>
      </c>
      <c r="C12" s="127">
        <f>DATE(Jaartal,March!$B$3,March!$B12)</f>
        <v>43898</v>
      </c>
      <c r="D12" s="104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6"/>
      <c r="AI12" s="104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6"/>
      <c r="BN12" s="104"/>
      <c r="BO12" s="105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6"/>
      <c r="CS12" s="104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5"/>
      <c r="DH12" s="105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6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</row>
    <row r="13" spans="1:141" x14ac:dyDescent="0.4">
      <c r="A13" s="74">
        <f t="shared" si="0"/>
        <v>2</v>
      </c>
      <c r="B13" s="74">
        <v>9</v>
      </c>
      <c r="C13" s="127">
        <f>DATE(Jaartal,March!$B$3,March!$B13)</f>
        <v>43899</v>
      </c>
      <c r="D13" s="104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6"/>
      <c r="AI13" s="104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6"/>
      <c r="BN13" s="104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6"/>
      <c r="CS13" s="104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5"/>
      <c r="DH13" s="105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6"/>
      <c r="DX13" s="128"/>
      <c r="DY13" s="128"/>
      <c r="DZ13" s="128"/>
      <c r="EA13" s="128"/>
      <c r="EB13" s="128"/>
      <c r="EC13" s="128"/>
      <c r="ED13" s="128"/>
      <c r="EE13" s="128"/>
      <c r="EF13" s="128"/>
      <c r="EG13" s="128"/>
      <c r="EH13" s="128"/>
      <c r="EI13" s="128"/>
      <c r="EJ13" s="128"/>
      <c r="EK13" s="128"/>
    </row>
    <row r="14" spans="1:141" x14ac:dyDescent="0.4">
      <c r="A14" s="74">
        <f t="shared" si="0"/>
        <v>3</v>
      </c>
      <c r="B14" s="74">
        <v>10</v>
      </c>
      <c r="C14" s="127">
        <f>DATE(Jaartal,March!$B$3,March!$B14)</f>
        <v>43900</v>
      </c>
      <c r="D14" s="104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6"/>
      <c r="AI14" s="104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6"/>
      <c r="BN14" s="104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6"/>
      <c r="CS14" s="104"/>
      <c r="CT14" s="105"/>
      <c r="CU14" s="105"/>
      <c r="CV14" s="105"/>
      <c r="CW14" s="105"/>
      <c r="CX14" s="105"/>
      <c r="CY14" s="105"/>
      <c r="CZ14" s="105"/>
      <c r="DA14" s="105"/>
      <c r="DB14" s="105"/>
      <c r="DC14" s="105"/>
      <c r="DD14" s="105"/>
      <c r="DE14" s="105"/>
      <c r="DF14" s="105"/>
      <c r="DG14" s="105"/>
      <c r="DH14" s="105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6"/>
      <c r="DX14" s="128"/>
      <c r="DY14" s="128"/>
      <c r="DZ14" s="128"/>
      <c r="EA14" s="128"/>
      <c r="EB14" s="128"/>
      <c r="EC14" s="128"/>
      <c r="ED14" s="128"/>
      <c r="EE14" s="128"/>
      <c r="EF14" s="128"/>
      <c r="EG14" s="128"/>
      <c r="EH14" s="128"/>
      <c r="EI14" s="128"/>
      <c r="EJ14" s="128"/>
      <c r="EK14" s="128"/>
    </row>
    <row r="15" spans="1:141" x14ac:dyDescent="0.4">
      <c r="A15" s="74">
        <f t="shared" si="0"/>
        <v>4</v>
      </c>
      <c r="B15" s="74">
        <v>11</v>
      </c>
      <c r="C15" s="127">
        <f>DATE(Jaartal,March!$B$3,March!$B15)</f>
        <v>43901</v>
      </c>
      <c r="D15" s="104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6"/>
      <c r="AI15" s="104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6"/>
      <c r="BN15" s="104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6"/>
      <c r="CS15" s="104"/>
      <c r="CT15" s="105"/>
      <c r="CU15" s="105"/>
      <c r="CV15" s="105"/>
      <c r="CW15" s="105"/>
      <c r="CX15" s="105"/>
      <c r="CY15" s="105"/>
      <c r="CZ15" s="105"/>
      <c r="DA15" s="105"/>
      <c r="DB15" s="105"/>
      <c r="DC15" s="105"/>
      <c r="DD15" s="105"/>
      <c r="DE15" s="105"/>
      <c r="DF15" s="105"/>
      <c r="DG15" s="105"/>
      <c r="DH15" s="105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6"/>
      <c r="DX15" s="128"/>
      <c r="DY15" s="128"/>
      <c r="DZ15" s="128"/>
      <c r="EA15" s="128"/>
      <c r="EB15" s="128"/>
      <c r="EC15" s="128"/>
      <c r="ED15" s="128"/>
      <c r="EE15" s="128"/>
      <c r="EF15" s="128"/>
      <c r="EG15" s="128"/>
      <c r="EH15" s="128"/>
      <c r="EI15" s="128"/>
      <c r="EJ15" s="128"/>
      <c r="EK15" s="128"/>
    </row>
    <row r="16" spans="1:141" x14ac:dyDescent="0.4">
      <c r="A16" s="74">
        <f t="shared" si="0"/>
        <v>5</v>
      </c>
      <c r="B16" s="74">
        <v>12</v>
      </c>
      <c r="C16" s="127">
        <f>DATE(Jaartal,March!$B$3,March!$B16)</f>
        <v>43902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6"/>
      <c r="AI16" s="104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6"/>
      <c r="BN16" s="104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6"/>
      <c r="DX16" s="128"/>
      <c r="DY16" s="128"/>
      <c r="DZ16" s="128"/>
      <c r="EA16" s="128"/>
      <c r="EB16" s="128"/>
      <c r="EC16" s="128"/>
      <c r="ED16" s="128"/>
      <c r="EE16" s="128"/>
      <c r="EF16" s="128"/>
      <c r="EG16" s="128"/>
      <c r="EH16" s="128"/>
      <c r="EI16" s="128"/>
      <c r="EJ16" s="128"/>
      <c r="EK16" s="128"/>
    </row>
    <row r="17" spans="1:141" x14ac:dyDescent="0.4">
      <c r="A17" s="74">
        <f t="shared" si="0"/>
        <v>6</v>
      </c>
      <c r="B17" s="74">
        <v>13</v>
      </c>
      <c r="C17" s="127">
        <f>DATE(Jaartal,March!$B$3,March!$B17)</f>
        <v>43903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6"/>
      <c r="AI17" s="104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6"/>
      <c r="BN17" s="104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6"/>
      <c r="CS17" s="104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6"/>
      <c r="DX17" s="128"/>
      <c r="DY17" s="128"/>
      <c r="DZ17" s="128"/>
      <c r="EA17" s="128"/>
      <c r="EB17" s="128"/>
      <c r="EC17" s="128"/>
      <c r="ED17" s="128"/>
      <c r="EE17" s="128"/>
      <c r="EF17" s="128"/>
      <c r="EG17" s="128"/>
      <c r="EH17" s="128"/>
      <c r="EI17" s="128"/>
      <c r="EJ17" s="128"/>
      <c r="EK17" s="128"/>
    </row>
    <row r="18" spans="1:141" x14ac:dyDescent="0.4">
      <c r="A18" s="74">
        <f t="shared" si="0"/>
        <v>7</v>
      </c>
      <c r="B18" s="74">
        <v>14</v>
      </c>
      <c r="C18" s="127">
        <f>DATE(Jaartal,March!$B$3,March!$B18)</f>
        <v>43904</v>
      </c>
      <c r="D18" s="104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6"/>
      <c r="AI18" s="104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6"/>
      <c r="BN18" s="104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6"/>
      <c r="CS18" s="104"/>
      <c r="CT18" s="105"/>
      <c r="CU18" s="105"/>
      <c r="CV18" s="105"/>
      <c r="CW18" s="105"/>
      <c r="CX18" s="105"/>
      <c r="CY18" s="105"/>
      <c r="CZ18" s="105"/>
      <c r="DA18" s="105"/>
      <c r="DB18" s="105"/>
      <c r="DC18" s="105"/>
      <c r="DD18" s="105"/>
      <c r="DE18" s="105"/>
      <c r="DF18" s="105"/>
      <c r="DG18" s="105"/>
      <c r="DH18" s="105"/>
      <c r="DI18" s="107"/>
      <c r="DJ18" s="107"/>
      <c r="DK18" s="107"/>
      <c r="DL18" s="107"/>
      <c r="DM18" s="107"/>
      <c r="DN18" s="107"/>
      <c r="DO18" s="107"/>
      <c r="DP18" s="107"/>
      <c r="DQ18" s="107"/>
      <c r="DR18" s="107"/>
      <c r="DS18" s="107"/>
      <c r="DT18" s="107"/>
      <c r="DU18" s="107"/>
      <c r="DV18" s="107"/>
      <c r="DW18" s="106"/>
      <c r="DX18" s="128"/>
      <c r="DY18" s="128"/>
      <c r="DZ18" s="128"/>
      <c r="EA18" s="128"/>
      <c r="EB18" s="128"/>
      <c r="EC18" s="128"/>
      <c r="ED18" s="128"/>
      <c r="EE18" s="128"/>
      <c r="EF18" s="128"/>
      <c r="EG18" s="128"/>
      <c r="EH18" s="128"/>
      <c r="EI18" s="128"/>
      <c r="EJ18" s="128"/>
      <c r="EK18" s="128"/>
    </row>
    <row r="19" spans="1:141" x14ac:dyDescent="0.4">
      <c r="A19" s="74">
        <f t="shared" si="0"/>
        <v>1</v>
      </c>
      <c r="B19" s="74">
        <v>15</v>
      </c>
      <c r="C19" s="127">
        <f>DATE(Jaartal,March!$B$3,March!$B19)</f>
        <v>43905</v>
      </c>
      <c r="D19" s="104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6"/>
      <c r="AI19" s="104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6"/>
      <c r="BN19" s="104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6"/>
      <c r="CS19" s="104"/>
      <c r="CT19" s="105"/>
      <c r="CU19" s="105"/>
      <c r="CV19" s="105"/>
      <c r="CW19" s="105"/>
      <c r="CX19" s="105"/>
      <c r="CY19" s="105"/>
      <c r="CZ19" s="105"/>
      <c r="DA19" s="105"/>
      <c r="DB19" s="105"/>
      <c r="DC19" s="105"/>
      <c r="DD19" s="105"/>
      <c r="DE19" s="105"/>
      <c r="DF19" s="105"/>
      <c r="DG19" s="105"/>
      <c r="DH19" s="105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6"/>
      <c r="DX19" s="128"/>
      <c r="DY19" s="128"/>
      <c r="DZ19" s="128"/>
      <c r="EA19" s="128"/>
      <c r="EB19" s="128"/>
      <c r="EC19" s="128"/>
      <c r="ED19" s="128"/>
      <c r="EE19" s="128"/>
      <c r="EF19" s="128"/>
      <c r="EG19" s="128"/>
      <c r="EH19" s="128"/>
      <c r="EI19" s="128"/>
      <c r="EJ19" s="128"/>
      <c r="EK19" s="128"/>
    </row>
    <row r="20" spans="1:141" x14ac:dyDescent="0.4">
      <c r="A20" s="74">
        <f t="shared" si="0"/>
        <v>2</v>
      </c>
      <c r="B20" s="74">
        <v>16</v>
      </c>
      <c r="C20" s="127">
        <f>DATE(Jaartal,March!$B$3,March!$B20)</f>
        <v>43906</v>
      </c>
      <c r="D20" s="104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6"/>
      <c r="AI20" s="104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6"/>
      <c r="BN20" s="104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6"/>
      <c r="CS20" s="104"/>
      <c r="CT20" s="105"/>
      <c r="CU20" s="105"/>
      <c r="CV20" s="105"/>
      <c r="CW20" s="105"/>
      <c r="CX20" s="105"/>
      <c r="CY20" s="105"/>
      <c r="CZ20" s="105"/>
      <c r="DA20" s="105"/>
      <c r="DB20" s="105"/>
      <c r="DC20" s="105"/>
      <c r="DD20" s="105"/>
      <c r="DE20" s="105"/>
      <c r="DF20" s="105"/>
      <c r="DG20" s="105"/>
      <c r="DH20" s="105"/>
      <c r="DI20" s="107"/>
      <c r="DJ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U20" s="107"/>
      <c r="DV20" s="107"/>
      <c r="DW20" s="106"/>
      <c r="DX20" s="128"/>
      <c r="DY20" s="128"/>
      <c r="DZ20" s="128"/>
      <c r="EA20" s="128"/>
      <c r="EB20" s="128"/>
      <c r="EC20" s="128"/>
      <c r="ED20" s="128"/>
      <c r="EE20" s="128"/>
      <c r="EF20" s="128"/>
      <c r="EG20" s="128"/>
      <c r="EH20" s="128"/>
      <c r="EI20" s="128"/>
      <c r="EJ20" s="128"/>
      <c r="EK20" s="128"/>
    </row>
    <row r="21" spans="1:141" x14ac:dyDescent="0.4">
      <c r="A21" s="74">
        <f t="shared" si="0"/>
        <v>3</v>
      </c>
      <c r="B21" s="74">
        <v>17</v>
      </c>
      <c r="C21" s="127">
        <f>DATE(Jaartal,March!$B$3,March!$B21)</f>
        <v>43907</v>
      </c>
      <c r="D21" s="104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6"/>
      <c r="AI21" s="104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6"/>
      <c r="BN21" s="104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6"/>
      <c r="CS21" s="104"/>
      <c r="CT21" s="105"/>
      <c r="CU21" s="105"/>
      <c r="CV21" s="105"/>
      <c r="CW21" s="105"/>
      <c r="CX21" s="105"/>
      <c r="CY21" s="105"/>
      <c r="CZ21" s="105"/>
      <c r="DA21" s="105"/>
      <c r="DB21" s="105"/>
      <c r="DC21" s="105"/>
      <c r="DD21" s="105"/>
      <c r="DE21" s="105"/>
      <c r="DF21" s="105"/>
      <c r="DG21" s="105"/>
      <c r="DH21" s="105"/>
      <c r="DI21" s="107"/>
      <c r="DJ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U21" s="107"/>
      <c r="DV21" s="107"/>
      <c r="DW21" s="106"/>
      <c r="DX21" s="128"/>
      <c r="DY21" s="128"/>
      <c r="DZ21" s="128"/>
      <c r="EA21" s="128"/>
      <c r="EB21" s="128"/>
      <c r="EC21" s="128"/>
      <c r="ED21" s="128"/>
      <c r="EE21" s="128"/>
      <c r="EF21" s="128"/>
      <c r="EG21" s="128"/>
      <c r="EH21" s="128"/>
      <c r="EI21" s="128"/>
      <c r="EJ21" s="128"/>
      <c r="EK21" s="128"/>
    </row>
    <row r="22" spans="1:141" x14ac:dyDescent="0.4">
      <c r="A22" s="74">
        <f t="shared" si="0"/>
        <v>4</v>
      </c>
      <c r="B22" s="74">
        <v>18</v>
      </c>
      <c r="C22" s="127">
        <f>DATE(Jaartal,March!$B$3,March!$B22)</f>
        <v>43908</v>
      </c>
      <c r="D22" s="104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6"/>
      <c r="AI22" s="104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6"/>
      <c r="BN22" s="104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6"/>
      <c r="CS22" s="104"/>
      <c r="CT22" s="105"/>
      <c r="CU22" s="105"/>
      <c r="CV22" s="105"/>
      <c r="CW22" s="105"/>
      <c r="CX22" s="105"/>
      <c r="CY22" s="105"/>
      <c r="CZ22" s="105"/>
      <c r="DA22" s="105"/>
      <c r="DB22" s="105"/>
      <c r="DC22" s="105"/>
      <c r="DD22" s="105"/>
      <c r="DE22" s="105"/>
      <c r="DF22" s="105"/>
      <c r="DG22" s="105"/>
      <c r="DH22" s="105"/>
      <c r="DI22" s="107"/>
      <c r="DJ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U22" s="107"/>
      <c r="DV22" s="107"/>
      <c r="DW22" s="106"/>
      <c r="DX22" s="128"/>
      <c r="DY22" s="128"/>
      <c r="DZ22" s="128"/>
      <c r="EA22" s="128"/>
      <c r="EB22" s="128"/>
      <c r="EC22" s="128"/>
      <c r="ED22" s="128"/>
      <c r="EE22" s="128"/>
      <c r="EF22" s="128"/>
      <c r="EG22" s="128"/>
      <c r="EH22" s="128"/>
      <c r="EI22" s="128"/>
      <c r="EJ22" s="128"/>
      <c r="EK22" s="128"/>
    </row>
    <row r="23" spans="1:141" x14ac:dyDescent="0.4">
      <c r="A23" s="74">
        <f t="shared" si="0"/>
        <v>5</v>
      </c>
      <c r="B23" s="74">
        <v>19</v>
      </c>
      <c r="C23" s="127">
        <f>DATE(Jaartal,March!$B$3,March!$B23)</f>
        <v>43909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6"/>
      <c r="AI23" s="104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6"/>
      <c r="BN23" s="104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7"/>
      <c r="CE23" s="107"/>
      <c r="CF23" s="107"/>
      <c r="CG23" s="107"/>
      <c r="CH23" s="107"/>
      <c r="CI23" s="107"/>
      <c r="CJ23" s="107"/>
      <c r="CK23" s="107"/>
      <c r="CL23" s="107"/>
      <c r="CM23" s="107"/>
      <c r="CN23" s="107"/>
      <c r="CO23" s="107"/>
      <c r="CP23" s="107"/>
      <c r="CQ23" s="107"/>
      <c r="CR23" s="106"/>
      <c r="CS23" s="104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5"/>
      <c r="DH23" s="105"/>
      <c r="DI23" s="107"/>
      <c r="DJ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U23" s="107"/>
      <c r="DV23" s="107"/>
      <c r="DW23" s="106"/>
      <c r="DX23" s="128"/>
      <c r="DY23" s="128"/>
      <c r="DZ23" s="128"/>
      <c r="EA23" s="128"/>
      <c r="EB23" s="128"/>
      <c r="EC23" s="128"/>
      <c r="ED23" s="128"/>
      <c r="EE23" s="128"/>
      <c r="EF23" s="128"/>
      <c r="EG23" s="128"/>
      <c r="EH23" s="128"/>
      <c r="EI23" s="128"/>
      <c r="EJ23" s="128"/>
      <c r="EK23" s="128"/>
    </row>
    <row r="24" spans="1:141" x14ac:dyDescent="0.4">
      <c r="A24" s="74">
        <f t="shared" si="0"/>
        <v>6</v>
      </c>
      <c r="B24" s="74">
        <v>20</v>
      </c>
      <c r="C24" s="127">
        <f>DATE(Jaartal,March!$B$3,March!$B24)</f>
        <v>43910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6"/>
      <c r="AI24" s="104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6"/>
      <c r="BN24" s="104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6"/>
      <c r="DX24" s="128"/>
      <c r="DY24" s="128"/>
      <c r="DZ24" s="128"/>
      <c r="EA24" s="128"/>
      <c r="EB24" s="128"/>
      <c r="EC24" s="128"/>
      <c r="ED24" s="128"/>
      <c r="EE24" s="128"/>
      <c r="EF24" s="128"/>
      <c r="EG24" s="128"/>
      <c r="EH24" s="128"/>
      <c r="EI24" s="128"/>
      <c r="EJ24" s="128"/>
      <c r="EK24" s="128"/>
    </row>
    <row r="25" spans="1:141" x14ac:dyDescent="0.4">
      <c r="A25" s="74">
        <f t="shared" si="0"/>
        <v>7</v>
      </c>
      <c r="B25" s="74">
        <v>21</v>
      </c>
      <c r="C25" s="127">
        <f>DATE(Jaartal,March!$B$3,March!$B25)</f>
        <v>43911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6"/>
      <c r="AI25" s="104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6"/>
      <c r="BN25" s="104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U25" s="107"/>
      <c r="DV25" s="107"/>
      <c r="DW25" s="106"/>
      <c r="DX25" s="128"/>
      <c r="DY25" s="128"/>
      <c r="DZ25" s="128"/>
      <c r="EA25" s="128"/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</row>
    <row r="26" spans="1:141" x14ac:dyDescent="0.4">
      <c r="A26" s="74">
        <f t="shared" si="0"/>
        <v>1</v>
      </c>
      <c r="B26" s="74">
        <v>22</v>
      </c>
      <c r="C26" s="127">
        <f>DATE(Jaartal,March!$B$3,March!$B26)</f>
        <v>43912</v>
      </c>
      <c r="D26" s="104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6"/>
      <c r="AI26" s="104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6"/>
      <c r="BN26" s="104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6"/>
      <c r="CS26" s="104"/>
      <c r="CT26" s="105"/>
      <c r="CU26" s="105"/>
      <c r="CV26" s="105"/>
      <c r="CW26" s="105"/>
      <c r="CX26" s="105"/>
      <c r="CY26" s="105"/>
      <c r="CZ26" s="105"/>
      <c r="DA26" s="105"/>
      <c r="DB26" s="105"/>
      <c r="DC26" s="105"/>
      <c r="DD26" s="105"/>
      <c r="DE26" s="105"/>
      <c r="DF26" s="105"/>
      <c r="DG26" s="105"/>
      <c r="DH26" s="105"/>
      <c r="DI26" s="107"/>
      <c r="DJ26" s="107"/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U26" s="107"/>
      <c r="DV26" s="107"/>
      <c r="DW26" s="106"/>
      <c r="DX26" s="128"/>
      <c r="DY26" s="128"/>
      <c r="DZ26" s="128"/>
      <c r="EA26" s="128"/>
      <c r="EB26" s="128"/>
      <c r="EC26" s="128"/>
      <c r="ED26" s="128"/>
      <c r="EE26" s="128"/>
      <c r="EF26" s="128"/>
      <c r="EG26" s="128"/>
      <c r="EH26" s="128"/>
      <c r="EI26" s="128"/>
      <c r="EJ26" s="128"/>
      <c r="EK26" s="128"/>
    </row>
    <row r="27" spans="1:141" x14ac:dyDescent="0.4">
      <c r="A27" s="74">
        <f t="shared" si="0"/>
        <v>2</v>
      </c>
      <c r="B27" s="74">
        <v>23</v>
      </c>
      <c r="C27" s="127">
        <f>DATE(Jaartal,March!$B$3,March!$B27)</f>
        <v>43913</v>
      </c>
      <c r="D27" s="104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6"/>
      <c r="AI27" s="104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6"/>
      <c r="BN27" s="104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6"/>
      <c r="CS27" s="104"/>
      <c r="CT27" s="105"/>
      <c r="CU27" s="105"/>
      <c r="CV27" s="105"/>
      <c r="CW27" s="105"/>
      <c r="CX27" s="105"/>
      <c r="CY27" s="105"/>
      <c r="CZ27" s="105"/>
      <c r="DA27" s="105"/>
      <c r="DB27" s="105"/>
      <c r="DC27" s="105"/>
      <c r="DD27" s="105"/>
      <c r="DE27" s="105"/>
      <c r="DF27" s="105"/>
      <c r="DG27" s="105"/>
      <c r="DH27" s="105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U27" s="107"/>
      <c r="DV27" s="107"/>
      <c r="DW27" s="106"/>
      <c r="DX27" s="128"/>
      <c r="DY27" s="128"/>
      <c r="DZ27" s="128"/>
      <c r="EA27" s="128"/>
      <c r="EB27" s="128"/>
      <c r="EC27" s="128"/>
      <c r="ED27" s="128"/>
      <c r="EE27" s="128"/>
      <c r="EF27" s="128"/>
      <c r="EG27" s="128"/>
      <c r="EH27" s="128"/>
      <c r="EI27" s="128"/>
      <c r="EJ27" s="128"/>
      <c r="EK27" s="128"/>
    </row>
    <row r="28" spans="1:141" x14ac:dyDescent="0.4">
      <c r="A28" s="74">
        <f t="shared" si="0"/>
        <v>3</v>
      </c>
      <c r="B28" s="74">
        <v>24</v>
      </c>
      <c r="C28" s="127">
        <f>DATE(Jaartal,March!$B$3,March!$B28)</f>
        <v>43914</v>
      </c>
      <c r="D28" s="104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6"/>
      <c r="AI28" s="104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6"/>
      <c r="BN28" s="104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6"/>
      <c r="CS28" s="104"/>
      <c r="CT28" s="105"/>
      <c r="CU28" s="105"/>
      <c r="CV28" s="105"/>
      <c r="CW28" s="105"/>
      <c r="CX28" s="105"/>
      <c r="CY28" s="105"/>
      <c r="CZ28" s="105"/>
      <c r="DA28" s="105"/>
      <c r="DB28" s="105"/>
      <c r="DC28" s="105"/>
      <c r="DD28" s="105"/>
      <c r="DE28" s="105"/>
      <c r="DF28" s="105"/>
      <c r="DG28" s="105"/>
      <c r="DH28" s="105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6"/>
      <c r="DX28" s="128"/>
      <c r="DY28" s="128"/>
      <c r="DZ28" s="128"/>
      <c r="EA28" s="128"/>
      <c r="EB28" s="128"/>
      <c r="EC28" s="128"/>
      <c r="ED28" s="128"/>
      <c r="EE28" s="128"/>
      <c r="EF28" s="128"/>
      <c r="EG28" s="128"/>
      <c r="EH28" s="128"/>
      <c r="EI28" s="128"/>
      <c r="EJ28" s="128"/>
      <c r="EK28" s="128"/>
    </row>
    <row r="29" spans="1:141" x14ac:dyDescent="0.4">
      <c r="A29" s="74">
        <f t="shared" si="0"/>
        <v>4</v>
      </c>
      <c r="B29" s="74">
        <v>25</v>
      </c>
      <c r="C29" s="127">
        <f>DATE(Jaartal,March!$B$3,March!$B29)</f>
        <v>43915</v>
      </c>
      <c r="D29" s="104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6"/>
      <c r="AI29" s="104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6"/>
      <c r="BN29" s="104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6"/>
      <c r="CS29" s="104"/>
      <c r="CT29" s="105"/>
      <c r="CU29" s="105"/>
      <c r="CV29" s="105"/>
      <c r="CW29" s="105"/>
      <c r="CX29" s="105"/>
      <c r="CY29" s="105"/>
      <c r="CZ29" s="105"/>
      <c r="DA29" s="105"/>
      <c r="DB29" s="105"/>
      <c r="DC29" s="105"/>
      <c r="DD29" s="105"/>
      <c r="DE29" s="105"/>
      <c r="DF29" s="105"/>
      <c r="DG29" s="105"/>
      <c r="DH29" s="105"/>
      <c r="DI29" s="107"/>
      <c r="DJ29" s="107"/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U29" s="107"/>
      <c r="DV29" s="107"/>
      <c r="DW29" s="106"/>
      <c r="DX29" s="128"/>
      <c r="DY29" s="128"/>
      <c r="DZ29" s="128"/>
      <c r="EA29" s="128"/>
      <c r="EB29" s="128"/>
      <c r="EC29" s="128"/>
      <c r="ED29" s="128"/>
      <c r="EE29" s="128"/>
      <c r="EF29" s="128"/>
      <c r="EG29" s="128"/>
      <c r="EH29" s="128"/>
      <c r="EI29" s="128"/>
      <c r="EJ29" s="128"/>
      <c r="EK29" s="128"/>
    </row>
    <row r="30" spans="1:141" x14ac:dyDescent="0.4">
      <c r="A30" s="74">
        <f t="shared" si="0"/>
        <v>5</v>
      </c>
      <c r="B30" s="74">
        <v>26</v>
      </c>
      <c r="C30" s="127">
        <f>DATE(Jaartal,March!$B$3,March!$B30)</f>
        <v>43916</v>
      </c>
      <c r="D30" s="104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6"/>
      <c r="AI30" s="104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6"/>
      <c r="BN30" s="104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6"/>
      <c r="CS30" s="104"/>
      <c r="CT30" s="105"/>
      <c r="CU30" s="105"/>
      <c r="CV30" s="105"/>
      <c r="CW30" s="105"/>
      <c r="CX30" s="105"/>
      <c r="CY30" s="105"/>
      <c r="CZ30" s="105"/>
      <c r="DA30" s="105"/>
      <c r="DB30" s="105"/>
      <c r="DC30" s="105"/>
      <c r="DD30" s="105"/>
      <c r="DE30" s="105"/>
      <c r="DF30" s="105"/>
      <c r="DG30" s="105"/>
      <c r="DH30" s="105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U30" s="107"/>
      <c r="DV30" s="107"/>
      <c r="DW30" s="106"/>
      <c r="DX30" s="128"/>
      <c r="DY30" s="128"/>
      <c r="DZ30" s="128"/>
      <c r="EA30" s="128"/>
      <c r="EB30" s="128"/>
      <c r="EC30" s="128"/>
      <c r="ED30" s="128"/>
      <c r="EE30" s="128"/>
      <c r="EF30" s="128"/>
      <c r="EG30" s="128"/>
      <c r="EH30" s="128"/>
      <c r="EI30" s="128"/>
      <c r="EJ30" s="128"/>
      <c r="EK30" s="128"/>
    </row>
    <row r="31" spans="1:141" x14ac:dyDescent="0.4">
      <c r="A31" s="74">
        <f t="shared" si="0"/>
        <v>6</v>
      </c>
      <c r="B31" s="74">
        <v>27</v>
      </c>
      <c r="C31" s="127">
        <f>DATE(Jaartal,March!$B$3,March!$B31)</f>
        <v>43917</v>
      </c>
      <c r="D31" s="104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6"/>
      <c r="AI31" s="104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6"/>
      <c r="BN31" s="104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6"/>
      <c r="CS31" s="104"/>
      <c r="CT31" s="105"/>
      <c r="CU31" s="105"/>
      <c r="CV31" s="105"/>
      <c r="CW31" s="105"/>
      <c r="CX31" s="105"/>
      <c r="CY31" s="105"/>
      <c r="CZ31" s="105"/>
      <c r="DA31" s="105"/>
      <c r="DB31" s="105"/>
      <c r="DC31" s="105"/>
      <c r="DD31" s="105"/>
      <c r="DE31" s="105"/>
      <c r="DF31" s="105"/>
      <c r="DG31" s="105"/>
      <c r="DH31" s="105"/>
      <c r="DI31" s="107"/>
      <c r="DJ31" s="107"/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U31" s="107"/>
      <c r="DV31" s="107"/>
      <c r="DW31" s="106"/>
      <c r="DX31" s="128"/>
      <c r="DY31" s="128"/>
      <c r="DZ31" s="128"/>
      <c r="EA31" s="128"/>
      <c r="EB31" s="128"/>
      <c r="EC31" s="128"/>
      <c r="ED31" s="128"/>
      <c r="EE31" s="128"/>
      <c r="EF31" s="128"/>
      <c r="EG31" s="128"/>
      <c r="EH31" s="128"/>
      <c r="EI31" s="128"/>
      <c r="EJ31" s="128"/>
      <c r="EK31" s="128"/>
    </row>
    <row r="32" spans="1:141" x14ac:dyDescent="0.4">
      <c r="A32" s="74">
        <f t="shared" si="0"/>
        <v>7</v>
      </c>
      <c r="B32" s="74">
        <v>28</v>
      </c>
      <c r="C32" s="127">
        <f>DATE(Jaartal,March!$B$3,March!$B32)</f>
        <v>43918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6"/>
      <c r="AI32" s="104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6"/>
      <c r="BN32" s="104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6"/>
      <c r="CS32" s="104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6"/>
      <c r="DX32" s="128"/>
      <c r="DY32" s="128"/>
      <c r="DZ32" s="128"/>
      <c r="EA32" s="128"/>
      <c r="EB32" s="128"/>
      <c r="EC32" s="128"/>
      <c r="ED32" s="128"/>
      <c r="EE32" s="128"/>
      <c r="EF32" s="128"/>
      <c r="EG32" s="128"/>
      <c r="EH32" s="128"/>
      <c r="EI32" s="128"/>
      <c r="EJ32" s="128"/>
      <c r="EK32" s="128"/>
    </row>
    <row r="33" spans="1:141" x14ac:dyDescent="0.4">
      <c r="A33" s="74">
        <f t="shared" si="0"/>
        <v>1</v>
      </c>
      <c r="B33" s="74">
        <v>29</v>
      </c>
      <c r="C33" s="127">
        <f>DATE(Jaartal,March!$B$3,March!$B33)</f>
        <v>43919</v>
      </c>
      <c r="D33" s="104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6"/>
      <c r="AI33" s="104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6"/>
      <c r="BN33" s="104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6"/>
      <c r="CS33" s="104"/>
      <c r="CT33" s="105"/>
      <c r="CU33" s="105"/>
      <c r="CV33" s="105"/>
      <c r="CW33" s="105"/>
      <c r="CX33" s="105"/>
      <c r="CY33" s="105"/>
      <c r="CZ33" s="105"/>
      <c r="DA33" s="105"/>
      <c r="DB33" s="105"/>
      <c r="DC33" s="105"/>
      <c r="DD33" s="105"/>
      <c r="DE33" s="105"/>
      <c r="DF33" s="105"/>
      <c r="DG33" s="105"/>
      <c r="DH33" s="105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6"/>
      <c r="DX33" s="128"/>
      <c r="DY33" s="128"/>
      <c r="DZ33" s="128"/>
      <c r="EA33" s="128"/>
      <c r="EB33" s="128"/>
      <c r="EC33" s="128"/>
      <c r="ED33" s="128"/>
      <c r="EE33" s="128"/>
      <c r="EF33" s="128"/>
      <c r="EG33" s="128"/>
      <c r="EH33" s="128"/>
      <c r="EI33" s="128"/>
      <c r="EJ33" s="128"/>
      <c r="EK33" s="128"/>
    </row>
    <row r="34" spans="1:141" x14ac:dyDescent="0.4">
      <c r="A34" s="74">
        <f t="shared" si="0"/>
        <v>2</v>
      </c>
      <c r="B34" s="74">
        <v>30</v>
      </c>
      <c r="C34" s="127">
        <f>DATE(Jaartal,March!$B$3,March!$B34)</f>
        <v>43920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6"/>
      <c r="AI34" s="104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6"/>
      <c r="BN34" s="104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6"/>
      <c r="CS34" s="104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5"/>
      <c r="DH34" s="105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6"/>
      <c r="DX34" s="128"/>
      <c r="DY34" s="128"/>
      <c r="DZ34" s="128"/>
      <c r="EA34" s="128"/>
      <c r="EB34" s="128"/>
      <c r="EC34" s="128"/>
      <c r="ED34" s="128"/>
      <c r="EE34" s="128"/>
      <c r="EF34" s="128"/>
      <c r="EG34" s="128"/>
      <c r="EH34" s="128"/>
      <c r="EI34" s="128"/>
      <c r="EJ34" s="128"/>
      <c r="EK34" s="128"/>
    </row>
    <row r="35" spans="1:141" x14ac:dyDescent="0.4">
      <c r="A35" s="74">
        <f t="shared" si="0"/>
        <v>3</v>
      </c>
      <c r="B35" s="74">
        <v>31</v>
      </c>
      <c r="C35" s="127">
        <f>DATE(Jaartal,March!$B$3,March!$B35)</f>
        <v>43921</v>
      </c>
      <c r="D35" s="104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6"/>
      <c r="AI35" s="104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6"/>
      <c r="BN35" s="104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6"/>
      <c r="CS35" s="108"/>
      <c r="CT35" s="105"/>
      <c r="CU35" s="105"/>
      <c r="CV35" s="105"/>
      <c r="CW35" s="105"/>
      <c r="CX35" s="105"/>
      <c r="CY35" s="105"/>
      <c r="CZ35" s="105"/>
      <c r="DA35" s="105"/>
      <c r="DB35" s="105"/>
      <c r="DC35" s="105"/>
      <c r="DD35" s="105"/>
      <c r="DE35" s="105"/>
      <c r="DF35" s="105"/>
      <c r="DG35" s="105"/>
      <c r="DH35" s="105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6"/>
      <c r="DX35" s="128"/>
      <c r="DY35" s="128"/>
      <c r="DZ35" s="128"/>
      <c r="EA35" s="128"/>
      <c r="EB35" s="128"/>
      <c r="EC35" s="128"/>
      <c r="ED35" s="128"/>
      <c r="EE35" s="128"/>
      <c r="EF35" s="128"/>
      <c r="EG35" s="128"/>
      <c r="EH35" s="128"/>
      <c r="EI35" s="128"/>
      <c r="EJ35" s="128"/>
      <c r="EK35" s="128"/>
    </row>
    <row r="36" spans="1:141" x14ac:dyDescent="0.4">
      <c r="BR36" s="128"/>
      <c r="BS36" s="128"/>
      <c r="BT36" s="128"/>
      <c r="BU36" s="128"/>
      <c r="BV36" s="128"/>
      <c r="BY36" s="128"/>
      <c r="BZ36" s="128"/>
      <c r="CB36" s="128"/>
      <c r="CC36" s="128"/>
      <c r="CD36" s="128"/>
      <c r="CE36" s="128"/>
      <c r="CF36" s="128"/>
      <c r="CG36" s="128"/>
      <c r="CH36" s="128"/>
      <c r="CI36" s="128"/>
      <c r="CJ36" s="128"/>
      <c r="CK36" s="128"/>
      <c r="CL36" s="128"/>
      <c r="CM36" s="128"/>
      <c r="CN36" s="128"/>
      <c r="CO36" s="128"/>
      <c r="CP36" s="128"/>
      <c r="CQ36" s="128"/>
      <c r="CW36" s="128"/>
      <c r="CX36" s="128"/>
      <c r="CY36" s="128"/>
      <c r="CZ36" s="128"/>
      <c r="DA36" s="128"/>
      <c r="DD36" s="128"/>
      <c r="DE36" s="128"/>
      <c r="DG36" s="128"/>
      <c r="DH36" s="128"/>
      <c r="DI36" s="128"/>
      <c r="DJ36" s="128"/>
      <c r="DK36" s="128"/>
      <c r="DL36" s="128"/>
      <c r="DM36" s="128"/>
      <c r="DN36" s="128"/>
      <c r="DO36" s="128"/>
      <c r="DP36" s="128"/>
      <c r="DQ36" s="128"/>
      <c r="DR36" s="128"/>
      <c r="DS36" s="128"/>
      <c r="DT36" s="128"/>
      <c r="DU36" s="128"/>
      <c r="DV36" s="128"/>
    </row>
    <row r="38" spans="1:141" ht="13.5" thickBot="1" x14ac:dyDescent="0.45"/>
    <row r="39" spans="1:141" ht="13.5" thickBot="1" x14ac:dyDescent="0.45">
      <c r="D39" s="109" t="s">
        <v>7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1"/>
    </row>
    <row r="40" spans="1:141" ht="13.5" thickBot="1" x14ac:dyDescent="0.45">
      <c r="D40" s="112">
        <v>1</v>
      </c>
      <c r="E40" s="113" t="s">
        <v>4</v>
      </c>
      <c r="F40" s="113"/>
      <c r="G40" s="113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5"/>
    </row>
    <row r="41" spans="1:141" ht="13.5" thickBot="1" x14ac:dyDescent="0.45">
      <c r="D41" s="116">
        <v>2</v>
      </c>
      <c r="E41" s="117" t="s">
        <v>79</v>
      </c>
      <c r="F41" s="117"/>
      <c r="G41" s="117"/>
      <c r="H41" s="117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9"/>
    </row>
    <row r="42" spans="1:141" ht="13.5" thickBot="1" x14ac:dyDescent="0.45">
      <c r="D42" s="120">
        <v>3</v>
      </c>
      <c r="E42" s="117" t="s">
        <v>66</v>
      </c>
      <c r="F42" s="117"/>
      <c r="G42" s="117"/>
      <c r="H42" s="117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9"/>
    </row>
    <row r="43" spans="1:141" ht="13.5" thickBot="1" x14ac:dyDescent="0.45">
      <c r="D43" s="121"/>
      <c r="E43" s="122" t="s">
        <v>80</v>
      </c>
      <c r="F43" s="122"/>
      <c r="G43" s="122"/>
      <c r="H43" s="12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4"/>
    </row>
    <row r="44" spans="1:141" x14ac:dyDescent="0.4">
      <c r="D44" s="129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1"/>
      <c r="AI44" s="131"/>
      <c r="AR44" s="130"/>
      <c r="AS44" s="130"/>
      <c r="AV44" s="130"/>
      <c r="BW44" s="130"/>
      <c r="BX44" s="130"/>
      <c r="CA44" s="130"/>
      <c r="DB44" s="130"/>
      <c r="DC44" s="130"/>
      <c r="DF44" s="130"/>
    </row>
    <row r="52" spans="33:34" x14ac:dyDescent="0.4">
      <c r="AG52" s="128"/>
      <c r="AH52" s="128"/>
    </row>
    <row r="53" spans="33:34" x14ac:dyDescent="0.4">
      <c r="AG53" s="128"/>
      <c r="AH53" s="128"/>
    </row>
    <row r="54" spans="33:34" x14ac:dyDescent="0.4">
      <c r="AG54" s="128"/>
      <c r="AH54" s="128"/>
    </row>
    <row r="55" spans="33:34" x14ac:dyDescent="0.4">
      <c r="AG55" s="128"/>
      <c r="AH55" s="128"/>
    </row>
    <row r="56" spans="33:34" x14ac:dyDescent="0.4">
      <c r="AG56" s="128"/>
      <c r="AH56" s="128"/>
    </row>
  </sheetData>
  <sheetProtection sheet="1" objects="1" scenarios="1" selectLockedCells="1"/>
  <mergeCells count="13">
    <mergeCell ref="D39:AI39"/>
    <mergeCell ref="E40:AI40"/>
    <mergeCell ref="E41:AI41"/>
    <mergeCell ref="E42:AI42"/>
    <mergeCell ref="E43:AI43"/>
    <mergeCell ref="D1:AH1"/>
    <mergeCell ref="AI1:BM1"/>
    <mergeCell ref="BN1:CR1"/>
    <mergeCell ref="CS1:DW1"/>
    <mergeCell ref="AH3:AH4"/>
    <mergeCell ref="BM3:BM4"/>
    <mergeCell ref="CR3:CR4"/>
    <mergeCell ref="DW3:DW4"/>
  </mergeCells>
  <conditionalFormatting sqref="D5:L35 O5:P35 AT5:AU35 BY5:BZ35 DD5:DE35 R5:AQ35 AW5:BV35 CB5:DA35 DG5:DW35">
    <cfRule type="expression" dxfId="391" priority="33" stopIfTrue="1">
      <formula>D5=3</formula>
    </cfRule>
    <cfRule type="expression" dxfId="390" priority="34" stopIfTrue="1">
      <formula>D5=2</formula>
    </cfRule>
    <cfRule type="expression" dxfId="389" priority="35" stopIfTrue="1">
      <formula>D5=1</formula>
    </cfRule>
    <cfRule type="expression" dxfId="388" priority="36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387" priority="29" stopIfTrue="1">
      <formula>M5=3</formula>
    </cfRule>
    <cfRule type="expression" dxfId="386" priority="30" stopIfTrue="1">
      <formula>M5=2</formula>
    </cfRule>
    <cfRule type="expression" dxfId="385" priority="31" stopIfTrue="1">
      <formula>M5=1</formula>
    </cfRule>
    <cfRule type="expression" dxfId="384" priority="32" stopIfTrue="1">
      <formula>IF($A5=1,1,IF($A5=7,1,IF(M$2="Q",IF($A5=2,IF($B5&lt;8,IF(MOD($B$3,3)&lt;&gt;0,1,0),1),1),IF(M$2="M",IF($A5=2,IF($B5&gt;7,1,0),1),IF(M$2="W",IF($A5=2,0,1),0)))))</formula>
    </cfRule>
  </conditionalFormatting>
  <conditionalFormatting sqref="AR5:AS35">
    <cfRule type="expression" dxfId="383" priority="25" stopIfTrue="1">
      <formula>AR5=3</formula>
    </cfRule>
    <cfRule type="expression" dxfId="382" priority="26" stopIfTrue="1">
      <formula>AR5=2</formula>
    </cfRule>
    <cfRule type="expression" dxfId="381" priority="27" stopIfTrue="1">
      <formula>AR5=1</formula>
    </cfRule>
    <cfRule type="expression" dxfId="380" priority="28" stopIfTrue="1">
      <formula>IF($A5=1,1,IF($A5=7,1,IF(AR$2="Q",IF($A5=2,IF($B5&lt;8,IF(MOD($B$3,3)&lt;&gt;0,1,0),1),1),IF(AR$2="M",IF($A5=2,IF($B5&gt;7,1,0),1),IF(AR$2="W",IF($A5=2,0,1),0)))))</formula>
    </cfRule>
  </conditionalFormatting>
  <conditionalFormatting sqref="BW5:BX35">
    <cfRule type="expression" dxfId="379" priority="21" stopIfTrue="1">
      <formula>BW5=3</formula>
    </cfRule>
    <cfRule type="expression" dxfId="378" priority="22" stopIfTrue="1">
      <formula>BW5=2</formula>
    </cfRule>
    <cfRule type="expression" dxfId="377" priority="23" stopIfTrue="1">
      <formula>BW5=1</formula>
    </cfRule>
    <cfRule type="expression" dxfId="376" priority="24" stopIfTrue="1">
      <formula>IF($A5=1,1,IF($A5=7,1,IF(BW$2="Q",IF($A5=2,IF($B5&lt;8,IF(MOD($B$3,3)&lt;&gt;0,1,0),1),1),IF(BW$2="M",IF($A5=2,IF($B5&gt;7,1,0),1),IF(BW$2="W",IF($A5=2,0,1),0)))))</formula>
    </cfRule>
  </conditionalFormatting>
  <conditionalFormatting sqref="DB5:DC35">
    <cfRule type="expression" dxfId="375" priority="17" stopIfTrue="1">
      <formula>DB5=3</formula>
    </cfRule>
    <cfRule type="expression" dxfId="374" priority="18" stopIfTrue="1">
      <formula>DB5=2</formula>
    </cfRule>
    <cfRule type="expression" dxfId="373" priority="19" stopIfTrue="1">
      <formula>DB5=1</formula>
    </cfRule>
    <cfRule type="expression" dxfId="372" priority="20" stopIfTrue="1">
      <formula>IF($A5=1,1,IF($A5=7,1,IF(DB$2="Q",IF($A5=2,IF($B5&lt;8,IF(MOD($B$3,3)&lt;&gt;0,1,0),1),1),IF(DB$2="M",IF($A5=2,IF($B5&gt;7,1,0),1),IF(DB$2="W",IF($A5=2,0,1),0)))))</formula>
    </cfRule>
  </conditionalFormatting>
  <conditionalFormatting sqref="Q5:Q35">
    <cfRule type="expression" dxfId="371" priority="13" stopIfTrue="1">
      <formula>Q5=3</formula>
    </cfRule>
    <cfRule type="expression" dxfId="370" priority="14" stopIfTrue="1">
      <formula>Q5=2</formula>
    </cfRule>
    <cfRule type="expression" dxfId="369" priority="15" stopIfTrue="1">
      <formula>Q5=1</formula>
    </cfRule>
    <cfRule type="expression" dxfId="368" priority="16" stopIfTrue="1">
      <formula>IF($A5=1,1,IF($A5=7,1,IF(Q$2="Q",IF($A5=2,IF($B5&lt;8,IF(MOD($B$3,3)&lt;&gt;0,1,0),1),1),IF(Q$2="M",IF($A5=2,IF($B5&gt;7,1,0),1),IF(Q$2="W",IF($A5=2,0,1),0)))))</formula>
    </cfRule>
  </conditionalFormatting>
  <conditionalFormatting sqref="AV5:AV35">
    <cfRule type="expression" dxfId="367" priority="9" stopIfTrue="1">
      <formula>AV5=3</formula>
    </cfRule>
    <cfRule type="expression" dxfId="366" priority="10" stopIfTrue="1">
      <formula>AV5=2</formula>
    </cfRule>
    <cfRule type="expression" dxfId="365" priority="11" stopIfTrue="1">
      <formula>AV5=1</formula>
    </cfRule>
    <cfRule type="expression" dxfId="364" priority="12" stopIfTrue="1">
      <formula>IF($A5=1,1,IF($A5=7,1,IF(AV$2="Q",IF($A5=2,IF($B5&lt;8,IF(MOD($B$3,3)&lt;&gt;0,1,0),1),1),IF(AV$2="M",IF($A5=2,IF($B5&gt;7,1,0),1),IF(AV$2="W",IF($A5=2,0,1),0)))))</formula>
    </cfRule>
  </conditionalFormatting>
  <conditionalFormatting sqref="CA5:CA35">
    <cfRule type="expression" dxfId="363" priority="5" stopIfTrue="1">
      <formula>CA5=3</formula>
    </cfRule>
    <cfRule type="expression" dxfId="362" priority="6" stopIfTrue="1">
      <formula>CA5=2</formula>
    </cfRule>
    <cfRule type="expression" dxfId="361" priority="7" stopIfTrue="1">
      <formula>CA5=1</formula>
    </cfRule>
    <cfRule type="expression" dxfId="360" priority="8" stopIfTrue="1">
      <formula>IF($A5=1,1,IF($A5=7,1,IF(CA$2="Q",IF($A5=2,IF($B5&lt;8,IF(MOD($B$3,3)&lt;&gt;0,1,0),1),1),IF(CA$2="M",IF($A5=2,IF($B5&gt;7,1,0),1),IF(CA$2="W",IF($A5=2,0,1),0)))))</formula>
    </cfRule>
  </conditionalFormatting>
  <conditionalFormatting sqref="DF5:DF35">
    <cfRule type="expression" dxfId="359" priority="1" stopIfTrue="1">
      <formula>DF5=3</formula>
    </cfRule>
    <cfRule type="expression" dxfId="358" priority="2" stopIfTrue="1">
      <formula>DF5=2</formula>
    </cfRule>
    <cfRule type="expression" dxfId="357" priority="3" stopIfTrue="1">
      <formula>DF5=1</formula>
    </cfRule>
    <cfRule type="expression" dxfId="356" priority="4" stopIfTrue="1">
      <formula>IF($A5=1,1,IF($A5=7,1,IF(DF$2="Q",IF($A5=2,IF($B5&lt;8,IF(MOD($B$3,3)&lt;&gt;0,1,0),1),1),IF(DF$2="M",IF($A5=2,IF($B5&gt;7,1,0),1),IF(DF$2="W",IF($A5=2,0,1),0)))))</formula>
    </cfRule>
  </conditionalFormatting>
  <dataValidations count="4">
    <dataValidation type="list" allowBlank="1" showInputMessage="1" showErrorMessage="1" sqref="BN5:CQ35 D5:AG35 AI5:BL35 CS5:DV35" xr:uid="{B40C96C4-2133-401D-BDB0-D559E41BB2CE}">
      <formula1>Status</formula1>
    </dataValidation>
    <dataValidation type="list" allowBlank="1" showInputMessage="1" showErrorMessage="1" sqref="C3" xr:uid="{1BE5076D-8E9E-4BCE-8E6D-391C35F67A05}">
      <formula1>List_Maanden</formula1>
    </dataValidation>
    <dataValidation type="list" allowBlank="1" showInputMessage="1" showErrorMessage="1" sqref="DW5:DW35 CR5:CR35 BM5:BM35 AH5:AH35" xr:uid="{23235D6D-10D4-43D0-8EC6-CE31162F930C}">
      <formula1>List_Personen</formula1>
    </dataValidation>
    <dataValidation type="list" allowBlank="1" showInputMessage="1" showErrorMessage="1" sqref="DB2:DC2 AR2:AS2 BW2:BX2 D2:AG2 AV2 CA2 DF2" xr:uid="{50C637FA-D426-4492-B94E-D0B724A58DAF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057F5-08E5-41C6-A187-5E85E065DE81}">
  <sheetPr codeName="Sheet6"/>
  <dimension ref="A1:EK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3.15" x14ac:dyDescent="0.4"/>
  <cols>
    <col min="1" max="1" width="8.796875" style="74" hidden="1" customWidth="1"/>
    <col min="2" max="2" width="4.265625" style="74" hidden="1" customWidth="1"/>
    <col min="3" max="3" width="25.73046875" style="74" bestFit="1" customWidth="1"/>
    <col min="4" max="5" width="3.19921875" style="74" bestFit="1" customWidth="1"/>
    <col min="6" max="8" width="3.19921875" style="74" customWidth="1"/>
    <col min="9" max="10" width="3.19921875" style="74" bestFit="1" customWidth="1"/>
    <col min="11" max="18" width="3.19921875" style="74" customWidth="1"/>
    <col min="19" max="19" width="3.19921875" style="74" bestFit="1" customWidth="1"/>
    <col min="20" max="24" width="3.19921875" style="74" customWidth="1"/>
    <col min="25" max="25" width="3.19921875" style="74" bestFit="1" customWidth="1"/>
    <col min="26" max="32" width="3.19921875" style="74" customWidth="1"/>
    <col min="33" max="33" width="2.73046875" style="74" bestFit="1" customWidth="1"/>
    <col min="34" max="34" width="14" style="74" bestFit="1" customWidth="1"/>
    <col min="35" max="39" width="3.19921875" style="74" bestFit="1" customWidth="1"/>
    <col min="40" max="46" width="3.19921875" style="74" customWidth="1"/>
    <col min="47" max="47" width="3.19921875" style="74" bestFit="1" customWidth="1"/>
    <col min="48" max="48" width="3.19921875" style="74" customWidth="1"/>
    <col min="49" max="49" width="3.19921875" style="74" bestFit="1" customWidth="1"/>
    <col min="50" max="50" width="2.73046875" style="74" bestFit="1" customWidth="1"/>
    <col min="51" max="64" width="2.73046875" style="74" customWidth="1"/>
    <col min="65" max="65" width="14" style="74" bestFit="1" customWidth="1"/>
    <col min="66" max="70" width="3.19921875" style="74" bestFit="1" customWidth="1"/>
    <col min="71" max="77" width="3.19921875" style="74" customWidth="1"/>
    <col min="78" max="78" width="3.19921875" style="74" bestFit="1" customWidth="1"/>
    <col min="79" max="79" width="3.19921875" style="74" customWidth="1"/>
    <col min="80" max="80" width="3.19921875" style="74" bestFit="1" customWidth="1"/>
    <col min="81" max="81" width="2.73046875" style="74" bestFit="1" customWidth="1"/>
    <col min="82" max="95" width="2.73046875" style="74" customWidth="1"/>
    <col min="96" max="96" width="14" style="74" bestFit="1" customWidth="1"/>
    <col min="97" max="102" width="3.19921875" style="74" bestFit="1" customWidth="1"/>
    <col min="103" max="110" width="3.19921875" style="74" customWidth="1"/>
    <col min="111" max="111" width="3.19921875" style="74" bestFit="1" customWidth="1"/>
    <col min="112" max="112" width="2.73046875" style="74" bestFit="1" customWidth="1"/>
    <col min="113" max="126" width="2.73046875" style="74" customWidth="1"/>
    <col min="127" max="127" width="14" style="74" bestFit="1" customWidth="1"/>
    <col min="128" max="128" width="6" style="74" customWidth="1"/>
    <col min="129" max="16384" width="9.06640625" style="74"/>
  </cols>
  <sheetData>
    <row r="1" spans="1:141" ht="18.399999999999999" thickBot="1" x14ac:dyDescent="0.6">
      <c r="C1" s="75" t="s">
        <v>5</v>
      </c>
      <c r="D1" s="76" t="s">
        <v>44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8"/>
      <c r="AI1" s="79" t="s">
        <v>45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1"/>
      <c r="BN1" s="82" t="s">
        <v>46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4"/>
      <c r="CS1" s="85" t="s">
        <v>47</v>
      </c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7"/>
    </row>
    <row r="2" spans="1:141" ht="13.5" thickBot="1" x14ac:dyDescent="0.45">
      <c r="A2" s="74" t="s">
        <v>13</v>
      </c>
      <c r="B2" s="74" t="s">
        <v>14</v>
      </c>
      <c r="C2" s="88" t="s">
        <v>3</v>
      </c>
      <c r="D2" s="89" t="str">
        <f>+Template!D2</f>
        <v>D</v>
      </c>
      <c r="E2" s="90" t="str">
        <f>+Template!E2</f>
        <v>D</v>
      </c>
      <c r="F2" s="90" t="str">
        <f>+Template!F2</f>
        <v>D</v>
      </c>
      <c r="G2" s="90" t="str">
        <f>+Template!G2</f>
        <v>D</v>
      </c>
      <c r="H2" s="90" t="str">
        <f>+Template!H2</f>
        <v>D</v>
      </c>
      <c r="I2" s="91" t="str">
        <f>+Template!I2</f>
        <v>D</v>
      </c>
      <c r="J2" s="91" t="str">
        <f>+Template!J2</f>
        <v>D</v>
      </c>
      <c r="K2" s="91" t="str">
        <f>+Template!K2</f>
        <v>D</v>
      </c>
      <c r="L2" s="91" t="str">
        <f>+Template!L2</f>
        <v>D</v>
      </c>
      <c r="M2" s="91" t="s">
        <v>2</v>
      </c>
      <c r="N2" s="91" t="s">
        <v>2</v>
      </c>
      <c r="O2" s="91" t="str">
        <f>+Template!O2</f>
        <v>D</v>
      </c>
      <c r="P2" s="91" t="str">
        <f>+Template!P2</f>
        <v>D</v>
      </c>
      <c r="Q2" s="91" t="s">
        <v>2</v>
      </c>
      <c r="R2" s="91" t="str">
        <f>+Template!R2</f>
        <v>D</v>
      </c>
      <c r="S2" s="91" t="str">
        <f>+Template!S2</f>
        <v>D</v>
      </c>
      <c r="T2" s="91" t="str">
        <f>+Template!T2</f>
        <v>D</v>
      </c>
      <c r="U2" s="91" t="str">
        <f>+Template!U2</f>
        <v>D</v>
      </c>
      <c r="V2" s="91" t="str">
        <f>+Template!V2</f>
        <v>D</v>
      </c>
      <c r="W2" s="91" t="str">
        <f>+Template!W2</f>
        <v>D</v>
      </c>
      <c r="X2" s="91" t="str">
        <f>+Template!X2</f>
        <v>W</v>
      </c>
      <c r="Y2" s="91" t="str">
        <f>+Template!Y2</f>
        <v>W</v>
      </c>
      <c r="Z2" s="91" t="str">
        <f>+Template!Z2</f>
        <v>W</v>
      </c>
      <c r="AA2" s="91" t="str">
        <f>+Template!AA2</f>
        <v>W</v>
      </c>
      <c r="AB2" s="91" t="str">
        <f>+Template!AB2</f>
        <v>M</v>
      </c>
      <c r="AC2" s="91" t="str">
        <f>+Template!AC2</f>
        <v>M</v>
      </c>
      <c r="AD2" s="91" t="str">
        <f>+Template!AD2</f>
        <v>M</v>
      </c>
      <c r="AE2" s="91" t="str">
        <f>+Template!AE2</f>
        <v>M</v>
      </c>
      <c r="AF2" s="91" t="str">
        <f>+Template!AF2</f>
        <v>Q</v>
      </c>
      <c r="AG2" s="91" t="str">
        <f>+Template!AG2</f>
        <v>Q</v>
      </c>
      <c r="AH2" s="92"/>
      <c r="AI2" s="89" t="str">
        <f>+Template!D2</f>
        <v>D</v>
      </c>
      <c r="AJ2" s="90" t="str">
        <f>+Template!E2</f>
        <v>D</v>
      </c>
      <c r="AK2" s="90" t="str">
        <f>+Template!F2</f>
        <v>D</v>
      </c>
      <c r="AL2" s="90" t="str">
        <f>+Template!G2</f>
        <v>D</v>
      </c>
      <c r="AM2" s="90" t="str">
        <f>+Template!H2</f>
        <v>D</v>
      </c>
      <c r="AN2" s="90" t="str">
        <f>+Template!I2</f>
        <v>D</v>
      </c>
      <c r="AO2" s="90" t="str">
        <f>+Template!J2</f>
        <v>D</v>
      </c>
      <c r="AP2" s="90" t="str">
        <f>+Template!K2</f>
        <v>D</v>
      </c>
      <c r="AQ2" s="90" t="str">
        <f>+Template!L2</f>
        <v>D</v>
      </c>
      <c r="AR2" s="91" t="s">
        <v>2</v>
      </c>
      <c r="AS2" s="91" t="s">
        <v>2</v>
      </c>
      <c r="AT2" s="90" t="str">
        <f>+Template!O2</f>
        <v>D</v>
      </c>
      <c r="AU2" s="91" t="str">
        <f>+Template!P2</f>
        <v>D</v>
      </c>
      <c r="AV2" s="91" t="s">
        <v>2</v>
      </c>
      <c r="AW2" s="91" t="str">
        <f>+Template!R2</f>
        <v>D</v>
      </c>
      <c r="AX2" s="91" t="str">
        <f>+Template!S2</f>
        <v>D</v>
      </c>
      <c r="AY2" s="91" t="str">
        <f>+Template!T2</f>
        <v>D</v>
      </c>
      <c r="AZ2" s="91" t="str">
        <f>+Template!U2</f>
        <v>D</v>
      </c>
      <c r="BA2" s="91" t="str">
        <f>+Template!V2</f>
        <v>D</v>
      </c>
      <c r="BB2" s="91" t="str">
        <f>+Template!W2</f>
        <v>D</v>
      </c>
      <c r="BC2" s="91" t="str">
        <f>+Template!X2</f>
        <v>W</v>
      </c>
      <c r="BD2" s="91" t="str">
        <f>+Template!Y2</f>
        <v>W</v>
      </c>
      <c r="BE2" s="91" t="str">
        <f>+Template!Z2</f>
        <v>W</v>
      </c>
      <c r="BF2" s="91" t="str">
        <f>+Template!AA2</f>
        <v>W</v>
      </c>
      <c r="BG2" s="91" t="str">
        <f>+Template!AB2</f>
        <v>M</v>
      </c>
      <c r="BH2" s="91" t="str">
        <f>+Template!AC2</f>
        <v>M</v>
      </c>
      <c r="BI2" s="91" t="str">
        <f>+Template!AD2</f>
        <v>M</v>
      </c>
      <c r="BJ2" s="91" t="str">
        <f>+Template!AE2</f>
        <v>M</v>
      </c>
      <c r="BK2" s="91" t="str">
        <f>+Template!AF2</f>
        <v>Q</v>
      </c>
      <c r="BL2" s="91" t="str">
        <f>+Template!AG2</f>
        <v>Q</v>
      </c>
      <c r="BM2" s="92"/>
      <c r="BN2" s="89" t="str">
        <f>+Template!D2</f>
        <v>D</v>
      </c>
      <c r="BO2" s="90" t="str">
        <f>+Template!E2</f>
        <v>D</v>
      </c>
      <c r="BP2" s="90" t="str">
        <f>+Template!F2</f>
        <v>D</v>
      </c>
      <c r="BQ2" s="90" t="str">
        <f>+Template!G2</f>
        <v>D</v>
      </c>
      <c r="BR2" s="90" t="str">
        <f>+Template!H2</f>
        <v>D</v>
      </c>
      <c r="BS2" s="90" t="str">
        <f>+Template!I2</f>
        <v>D</v>
      </c>
      <c r="BT2" s="90" t="str">
        <f>+Template!J2</f>
        <v>D</v>
      </c>
      <c r="BU2" s="90" t="str">
        <f>+Template!K2</f>
        <v>D</v>
      </c>
      <c r="BV2" s="90" t="str">
        <f>+Template!L2</f>
        <v>D</v>
      </c>
      <c r="BW2" s="91" t="s">
        <v>2</v>
      </c>
      <c r="BX2" s="91" t="s">
        <v>2</v>
      </c>
      <c r="BY2" s="90" t="str">
        <f>+Template!O2</f>
        <v>D</v>
      </c>
      <c r="BZ2" s="91" t="str">
        <f>+Template!P2</f>
        <v>D</v>
      </c>
      <c r="CA2" s="91" t="s">
        <v>2</v>
      </c>
      <c r="CB2" s="91" t="str">
        <f>+Template!R2</f>
        <v>D</v>
      </c>
      <c r="CC2" s="91" t="str">
        <f>+Template!S2</f>
        <v>D</v>
      </c>
      <c r="CD2" s="91" t="str">
        <f>+Template!T2</f>
        <v>D</v>
      </c>
      <c r="CE2" s="91" t="str">
        <f>+Template!U2</f>
        <v>D</v>
      </c>
      <c r="CF2" s="91" t="str">
        <f>+Template!V2</f>
        <v>D</v>
      </c>
      <c r="CG2" s="91" t="str">
        <f>+Template!W2</f>
        <v>D</v>
      </c>
      <c r="CH2" s="91" t="str">
        <f>+Template!X2</f>
        <v>W</v>
      </c>
      <c r="CI2" s="91" t="str">
        <f>+Template!Y2</f>
        <v>W</v>
      </c>
      <c r="CJ2" s="91" t="str">
        <f>+Template!Z2</f>
        <v>W</v>
      </c>
      <c r="CK2" s="91" t="str">
        <f>+Template!AA2</f>
        <v>W</v>
      </c>
      <c r="CL2" s="91" t="str">
        <f>+Template!AB2</f>
        <v>M</v>
      </c>
      <c r="CM2" s="91" t="str">
        <f>+Template!AC2</f>
        <v>M</v>
      </c>
      <c r="CN2" s="91" t="str">
        <f>+Template!AD2</f>
        <v>M</v>
      </c>
      <c r="CO2" s="91" t="str">
        <f>+Template!AE2</f>
        <v>M</v>
      </c>
      <c r="CP2" s="91" t="str">
        <f>+Template!AF2</f>
        <v>Q</v>
      </c>
      <c r="CQ2" s="91" t="str">
        <f>+Template!AG2</f>
        <v>Q</v>
      </c>
      <c r="CR2" s="92"/>
      <c r="CS2" s="89" t="str">
        <f>+Template!D2</f>
        <v>D</v>
      </c>
      <c r="CT2" s="90" t="str">
        <f>+Template!E2</f>
        <v>D</v>
      </c>
      <c r="CU2" s="90" t="str">
        <f>+Template!F2</f>
        <v>D</v>
      </c>
      <c r="CV2" s="90" t="str">
        <f>+Template!G2</f>
        <v>D</v>
      </c>
      <c r="CW2" s="90" t="str">
        <f>+Template!H2</f>
        <v>D</v>
      </c>
      <c r="CX2" s="91" t="str">
        <f>+Template!I2</f>
        <v>D</v>
      </c>
      <c r="CY2" s="91" t="str">
        <f>+Template!J2</f>
        <v>D</v>
      </c>
      <c r="CZ2" s="91" t="str">
        <f>+Template!K2</f>
        <v>D</v>
      </c>
      <c r="DA2" s="91" t="str">
        <f>+Template!L2</f>
        <v>D</v>
      </c>
      <c r="DB2" s="91" t="s">
        <v>2</v>
      </c>
      <c r="DC2" s="91" t="s">
        <v>2</v>
      </c>
      <c r="DD2" s="91" t="str">
        <f>+Template!O2</f>
        <v>D</v>
      </c>
      <c r="DE2" s="91" t="str">
        <f>+Template!P2</f>
        <v>D</v>
      </c>
      <c r="DF2" s="91" t="s">
        <v>2</v>
      </c>
      <c r="DG2" s="91" t="str">
        <f>+Template!R2</f>
        <v>D</v>
      </c>
      <c r="DH2" s="91" t="str">
        <f>+Template!S2</f>
        <v>D</v>
      </c>
      <c r="DI2" s="91" t="str">
        <f>+Template!T2</f>
        <v>D</v>
      </c>
      <c r="DJ2" s="91" t="str">
        <f>+Template!U2</f>
        <v>D</v>
      </c>
      <c r="DK2" s="91" t="str">
        <f>+Template!V2</f>
        <v>D</v>
      </c>
      <c r="DL2" s="91" t="str">
        <f>+Template!W2</f>
        <v>D</v>
      </c>
      <c r="DM2" s="91" t="str">
        <f>+Template!X2</f>
        <v>W</v>
      </c>
      <c r="DN2" s="91" t="str">
        <f>+Template!Y2</f>
        <v>W</v>
      </c>
      <c r="DO2" s="91" t="str">
        <f>+Template!Z2</f>
        <v>W</v>
      </c>
      <c r="DP2" s="91" t="str">
        <f>+Template!AA2</f>
        <v>W</v>
      </c>
      <c r="DQ2" s="91" t="str">
        <f>+Template!AB2</f>
        <v>M</v>
      </c>
      <c r="DR2" s="91" t="str">
        <f>+Template!AC2</f>
        <v>M</v>
      </c>
      <c r="DS2" s="91" t="str">
        <f>+Template!AD2</f>
        <v>M</v>
      </c>
      <c r="DT2" s="91" t="str">
        <f>+Template!AE2</f>
        <v>M</v>
      </c>
      <c r="DU2" s="91" t="str">
        <f>+Template!AF2</f>
        <v>Q</v>
      </c>
      <c r="DV2" s="91" t="str">
        <f>+Template!AG2</f>
        <v>Q</v>
      </c>
      <c r="DW2" s="92"/>
    </row>
    <row r="3" spans="1:141" ht="150" x14ac:dyDescent="0.4">
      <c r="B3" s="74">
        <f>VLOOKUP(C3,Data!E2:F13,2,FALSE)</f>
        <v>4</v>
      </c>
      <c r="C3" s="93" t="s">
        <v>9</v>
      </c>
      <c r="D3" s="94" t="str">
        <f>+Template!D3</f>
        <v>Quick environment check</v>
      </c>
      <c r="E3" s="95" t="str">
        <f>+Template!E3</f>
        <v>Health Analyzer Issues</v>
      </c>
      <c r="F3" s="95" t="str">
        <f>+Template!F3</f>
        <v>Content Database Status</v>
      </c>
      <c r="G3" s="95" t="str">
        <f>+Template!G3</f>
        <v>Upgrade Status Servers</v>
      </c>
      <c r="H3" s="95" t="str">
        <f>+Template!H3</f>
        <v>Upgrade Status Databases</v>
      </c>
      <c r="I3" s="95" t="str">
        <f>+Template!I3</f>
        <v>Failed Timer Jobs</v>
      </c>
      <c r="J3" s="95" t="str">
        <f>+Template!J3</f>
        <v>Deployment Status Solutions</v>
      </c>
      <c r="K3" s="95" t="str">
        <f>+Template!K3</f>
        <v>Content Database Size</v>
      </c>
      <c r="L3" s="95" t="str">
        <f>+Template!L3</f>
        <v>Service Application Status</v>
      </c>
      <c r="M3" s="95" t="s">
        <v>98</v>
      </c>
      <c r="N3" s="95" t="s">
        <v>99</v>
      </c>
      <c r="O3" s="95" t="str">
        <f>+Template!O3</f>
        <v>Search Topology</v>
      </c>
      <c r="P3" s="95" t="str">
        <f>+Template!P3</f>
        <v>Search Gatherer Logs</v>
      </c>
      <c r="Q3" s="95" t="s">
        <v>100</v>
      </c>
      <c r="R3" s="95" t="str">
        <f>+Template!R3</f>
        <v>Last Boot Time</v>
      </c>
      <c r="S3" s="95" t="str">
        <f>+Template!S3</f>
        <v>Running Services Check</v>
      </c>
      <c r="T3" s="95" t="str">
        <f>+Template!T3</f>
        <v>Scheduled Tasks</v>
      </c>
      <c r="U3" s="95" t="str">
        <f>+Template!U3</f>
        <v>Running websites en application pools</v>
      </c>
      <c r="V3" s="95" t="str">
        <f>+Template!V3</f>
        <v>Group Membership Check</v>
      </c>
      <c r="W3" s="95" t="str">
        <f>+Template!W3</f>
        <v>Backup Status</v>
      </c>
      <c r="X3" s="95" t="str">
        <f>+Template!X3</f>
        <v>Permissions Check</v>
      </c>
      <c r="Y3" s="95" t="str">
        <f>+Template!Y3</f>
        <v>New Updates</v>
      </c>
      <c r="Z3" s="95" t="str">
        <f>+Template!Z3</f>
        <v>Baseline Settings</v>
      </c>
      <c r="AA3" s="95" t="str">
        <f>+Template!AA3</f>
        <v>Access Check</v>
      </c>
      <c r="AB3" s="95" t="str">
        <f>+Template!AB3</f>
        <v>Missing Security Updates/Service Packs</v>
      </c>
      <c r="AC3" s="95" t="str">
        <f>+Template!AC3</f>
        <v>Policy Compliance</v>
      </c>
      <c r="AD3" s="95" t="str">
        <f>+Template!AD3</f>
        <v>Documentation Check</v>
      </c>
      <c r="AE3" s="95" t="str">
        <f>+Template!AE3</f>
        <v>SSL Certificates Check</v>
      </c>
      <c r="AF3" s="95" t="str">
        <f>+Template!AF3</f>
        <v>Disaster Recovery Test</v>
      </c>
      <c r="AG3" s="95" t="str">
        <f>+Template!AG3</f>
        <v>Lifecycle Check</v>
      </c>
      <c r="AH3" s="96" t="str">
        <f>+Template!AH3</f>
        <v>Performed by:</v>
      </c>
      <c r="AI3" s="94" t="str">
        <f>+Template!D3</f>
        <v>Quick environment check</v>
      </c>
      <c r="AJ3" s="95" t="str">
        <f>+Template!E3</f>
        <v>Health Analyzer Issues</v>
      </c>
      <c r="AK3" s="95" t="str">
        <f>+Template!F3</f>
        <v>Content Database Status</v>
      </c>
      <c r="AL3" s="95" t="str">
        <f>+Template!G3</f>
        <v>Upgrade Status Servers</v>
      </c>
      <c r="AM3" s="95" t="str">
        <f>+Template!H3</f>
        <v>Upgrade Status Databases</v>
      </c>
      <c r="AN3" s="95" t="str">
        <f>+Template!I3</f>
        <v>Failed Timer Jobs</v>
      </c>
      <c r="AO3" s="95" t="str">
        <f>+Template!J3</f>
        <v>Deployment Status Solutions</v>
      </c>
      <c r="AP3" s="95" t="str">
        <f>+Template!K3</f>
        <v>Content Database Size</v>
      </c>
      <c r="AQ3" s="95" t="str">
        <f>+Template!L3</f>
        <v>Service Application Status</v>
      </c>
      <c r="AR3" s="95" t="s">
        <v>98</v>
      </c>
      <c r="AS3" s="95" t="s">
        <v>99</v>
      </c>
      <c r="AT3" s="95" t="str">
        <f>+Template!O3</f>
        <v>Search Topology</v>
      </c>
      <c r="AU3" s="95" t="str">
        <f>+Template!P3</f>
        <v>Search Gatherer Logs</v>
      </c>
      <c r="AV3" s="95" t="s">
        <v>100</v>
      </c>
      <c r="AW3" s="95" t="str">
        <f>+Template!R3</f>
        <v>Last Boot Time</v>
      </c>
      <c r="AX3" s="95" t="str">
        <f>+Template!S3</f>
        <v>Running Services Check</v>
      </c>
      <c r="AY3" s="95" t="str">
        <f>+Template!T3</f>
        <v>Scheduled Tasks</v>
      </c>
      <c r="AZ3" s="95" t="str">
        <f>+Template!U3</f>
        <v>Running websites en application pools</v>
      </c>
      <c r="BA3" s="95" t="str">
        <f>+Template!V3</f>
        <v>Group Membership Check</v>
      </c>
      <c r="BB3" s="95" t="str">
        <f>+Template!W3</f>
        <v>Backup Status</v>
      </c>
      <c r="BC3" s="95" t="str">
        <f>+Template!X3</f>
        <v>Permissions Check</v>
      </c>
      <c r="BD3" s="95" t="str">
        <f>+Template!Y3</f>
        <v>New Updates</v>
      </c>
      <c r="BE3" s="95" t="str">
        <f>+Template!Z3</f>
        <v>Baseline Settings</v>
      </c>
      <c r="BF3" s="95" t="str">
        <f>+Template!AA3</f>
        <v>Access Check</v>
      </c>
      <c r="BG3" s="95" t="str">
        <f>+Template!AB3</f>
        <v>Missing Security Updates/Service Packs</v>
      </c>
      <c r="BH3" s="95" t="str">
        <f>+Template!AC3</f>
        <v>Policy Compliance</v>
      </c>
      <c r="BI3" s="95" t="str">
        <f>+Template!AD3</f>
        <v>Documentation Check</v>
      </c>
      <c r="BJ3" s="95" t="str">
        <f>+Template!AE3</f>
        <v>SSL Certificates Check</v>
      </c>
      <c r="BK3" s="95" t="str">
        <f>+Template!AF3</f>
        <v>Disaster Recovery Test</v>
      </c>
      <c r="BL3" s="95" t="str">
        <f>+Template!AG3</f>
        <v>Lifecycle Check</v>
      </c>
      <c r="BM3" s="96" t="str">
        <f>+Template!AH3</f>
        <v>Performed by:</v>
      </c>
      <c r="BN3" s="94" t="str">
        <f>+Template!D3</f>
        <v>Quick environment check</v>
      </c>
      <c r="BO3" s="95" t="str">
        <f>+Template!E3</f>
        <v>Health Analyzer Issues</v>
      </c>
      <c r="BP3" s="95" t="str">
        <f>+Template!F3</f>
        <v>Content Database Status</v>
      </c>
      <c r="BQ3" s="95" t="str">
        <f>+Template!G3</f>
        <v>Upgrade Status Servers</v>
      </c>
      <c r="BR3" s="95" t="str">
        <f>+Template!H3</f>
        <v>Upgrade Status Databases</v>
      </c>
      <c r="BS3" s="95" t="str">
        <f>+Template!I3</f>
        <v>Failed Timer Jobs</v>
      </c>
      <c r="BT3" s="95" t="str">
        <f>+Template!J3</f>
        <v>Deployment Status Solutions</v>
      </c>
      <c r="BU3" s="95" t="str">
        <f>+Template!K3</f>
        <v>Content Database Size</v>
      </c>
      <c r="BV3" s="95" t="str">
        <f>+Template!L3</f>
        <v>Service Application Status</v>
      </c>
      <c r="BW3" s="95" t="s">
        <v>98</v>
      </c>
      <c r="BX3" s="95" t="s">
        <v>99</v>
      </c>
      <c r="BY3" s="95" t="str">
        <f>+Template!O3</f>
        <v>Search Topology</v>
      </c>
      <c r="BZ3" s="95" t="str">
        <f>+Template!P3</f>
        <v>Search Gatherer Logs</v>
      </c>
      <c r="CA3" s="95" t="s">
        <v>100</v>
      </c>
      <c r="CB3" s="95" t="str">
        <f>+Template!R3</f>
        <v>Last Boot Time</v>
      </c>
      <c r="CC3" s="95" t="str">
        <f>+Template!S3</f>
        <v>Running Services Check</v>
      </c>
      <c r="CD3" s="95" t="str">
        <f>+Template!T3</f>
        <v>Scheduled Tasks</v>
      </c>
      <c r="CE3" s="95" t="str">
        <f>+Template!U3</f>
        <v>Running websites en application pools</v>
      </c>
      <c r="CF3" s="95" t="str">
        <f>+Template!V3</f>
        <v>Group Membership Check</v>
      </c>
      <c r="CG3" s="95" t="str">
        <f>+Template!W3</f>
        <v>Backup Status</v>
      </c>
      <c r="CH3" s="95" t="str">
        <f>+Template!X3</f>
        <v>Permissions Check</v>
      </c>
      <c r="CI3" s="95" t="str">
        <f>+Template!Y3</f>
        <v>New Updates</v>
      </c>
      <c r="CJ3" s="95" t="str">
        <f>+Template!Z3</f>
        <v>Baseline Settings</v>
      </c>
      <c r="CK3" s="95" t="str">
        <f>+Template!AA3</f>
        <v>Access Check</v>
      </c>
      <c r="CL3" s="95" t="str">
        <f>+Template!AB3</f>
        <v>Missing Security Updates/Service Packs</v>
      </c>
      <c r="CM3" s="95" t="str">
        <f>+Template!AC3</f>
        <v>Policy Compliance</v>
      </c>
      <c r="CN3" s="95" t="str">
        <f>+Template!AD3</f>
        <v>Documentation Check</v>
      </c>
      <c r="CO3" s="95" t="str">
        <f>+Template!AE3</f>
        <v>SSL Certificates Check</v>
      </c>
      <c r="CP3" s="95" t="str">
        <f>+Template!AF3</f>
        <v>Disaster Recovery Test</v>
      </c>
      <c r="CQ3" s="95" t="str">
        <f>+Template!AG3</f>
        <v>Lifecycle Check</v>
      </c>
      <c r="CR3" s="96" t="str">
        <f>+Template!AH3</f>
        <v>Performed by:</v>
      </c>
      <c r="CS3" s="94" t="str">
        <f>+Template!D3</f>
        <v>Quick environment check</v>
      </c>
      <c r="CT3" s="95" t="str">
        <f>+Template!E3</f>
        <v>Health Analyzer Issues</v>
      </c>
      <c r="CU3" s="95" t="str">
        <f>+Template!F3</f>
        <v>Content Database Status</v>
      </c>
      <c r="CV3" s="95" t="str">
        <f>+Template!G3</f>
        <v>Upgrade Status Servers</v>
      </c>
      <c r="CW3" s="95" t="str">
        <f>+Template!H3</f>
        <v>Upgrade Status Databases</v>
      </c>
      <c r="CX3" s="95" t="str">
        <f>+Template!I3</f>
        <v>Failed Timer Jobs</v>
      </c>
      <c r="CY3" s="95" t="str">
        <f>+Template!J3</f>
        <v>Deployment Status Solutions</v>
      </c>
      <c r="CZ3" s="95" t="str">
        <f>+Template!K3</f>
        <v>Content Database Size</v>
      </c>
      <c r="DA3" s="95" t="str">
        <f>+Template!L3</f>
        <v>Service Application Status</v>
      </c>
      <c r="DB3" s="95" t="s">
        <v>98</v>
      </c>
      <c r="DC3" s="95" t="s">
        <v>99</v>
      </c>
      <c r="DD3" s="95" t="str">
        <f>+Template!O3</f>
        <v>Search Topology</v>
      </c>
      <c r="DE3" s="95" t="str">
        <f>+Template!P3</f>
        <v>Search Gatherer Logs</v>
      </c>
      <c r="DF3" s="95" t="s">
        <v>100</v>
      </c>
      <c r="DG3" s="95" t="str">
        <f>+Template!R3</f>
        <v>Last Boot Time</v>
      </c>
      <c r="DH3" s="95" t="str">
        <f>+Template!S3</f>
        <v>Running Services Check</v>
      </c>
      <c r="DI3" s="95" t="str">
        <f>+Template!T3</f>
        <v>Scheduled Tasks</v>
      </c>
      <c r="DJ3" s="95" t="str">
        <f>+Template!U3</f>
        <v>Running websites en application pools</v>
      </c>
      <c r="DK3" s="95" t="str">
        <f>+Template!V3</f>
        <v>Group Membership Check</v>
      </c>
      <c r="DL3" s="95" t="str">
        <f>+Template!W3</f>
        <v>Backup Status</v>
      </c>
      <c r="DM3" s="95" t="str">
        <f>+Template!X3</f>
        <v>Permissions Check</v>
      </c>
      <c r="DN3" s="95" t="str">
        <f>+Template!Y3</f>
        <v>New Updates</v>
      </c>
      <c r="DO3" s="95" t="str">
        <f>+Template!Z3</f>
        <v>Baseline Settings</v>
      </c>
      <c r="DP3" s="95" t="str">
        <f>+Template!AA3</f>
        <v>Access Check</v>
      </c>
      <c r="DQ3" s="95" t="str">
        <f>+Template!AB3</f>
        <v>Missing Security Updates/Service Packs</v>
      </c>
      <c r="DR3" s="95" t="str">
        <f>+Template!AC3</f>
        <v>Policy Compliance</v>
      </c>
      <c r="DS3" s="95" t="str">
        <f>+Template!AD3</f>
        <v>Documentation Check</v>
      </c>
      <c r="DT3" s="95" t="str">
        <f>+Template!AE3</f>
        <v>SSL Certificates Check</v>
      </c>
      <c r="DU3" s="95" t="str">
        <f>+Template!AF3</f>
        <v>Disaster Recovery Test</v>
      </c>
      <c r="DV3" s="95" t="str">
        <f>+Template!AG3</f>
        <v>Lifecycle Check</v>
      </c>
      <c r="DW3" s="96" t="str">
        <f>+Template!AH3</f>
        <v>Performed by:</v>
      </c>
      <c r="DX3" s="125"/>
      <c r="DY3" s="126"/>
      <c r="DZ3" s="126"/>
      <c r="EA3" s="126"/>
    </row>
    <row r="4" spans="1:141" ht="23.25" customHeight="1" thickBot="1" x14ac:dyDescent="0.45">
      <c r="C4" s="97">
        <f>Jaartal</f>
        <v>2020</v>
      </c>
      <c r="D4" s="94">
        <f>+Template!D4</f>
        <v>1</v>
      </c>
      <c r="E4" s="95">
        <f>+Template!E4</f>
        <v>10</v>
      </c>
      <c r="F4" s="95">
        <f>+Template!F4</f>
        <v>11</v>
      </c>
      <c r="G4" s="95">
        <f>+Template!G4</f>
        <v>12</v>
      </c>
      <c r="H4" s="95">
        <f>+Template!H4</f>
        <v>13</v>
      </c>
      <c r="I4" s="95">
        <f>+Template!I4</f>
        <v>14</v>
      </c>
      <c r="J4" s="95">
        <f>+Template!J4</f>
        <v>15</v>
      </c>
      <c r="K4" s="95">
        <f>+Template!K4</f>
        <v>16</v>
      </c>
      <c r="L4" s="95">
        <f>+Template!L4</f>
        <v>17</v>
      </c>
      <c r="M4" s="95">
        <v>18</v>
      </c>
      <c r="N4" s="95">
        <v>19</v>
      </c>
      <c r="O4" s="95">
        <f>+Template!O4</f>
        <v>20</v>
      </c>
      <c r="P4" s="95">
        <f>+Template!P4</f>
        <v>21</v>
      </c>
      <c r="Q4" s="95">
        <v>22</v>
      </c>
      <c r="R4" s="95">
        <f>+Template!R4</f>
        <v>30</v>
      </c>
      <c r="S4" s="95">
        <f>+Template!S4</f>
        <v>31</v>
      </c>
      <c r="T4" s="95">
        <f>+Template!T4</f>
        <v>32</v>
      </c>
      <c r="U4" s="95">
        <f>+Template!U4</f>
        <v>33</v>
      </c>
      <c r="V4" s="95">
        <f>+Template!V4</f>
        <v>34</v>
      </c>
      <c r="W4" s="95">
        <f>+Template!W4</f>
        <v>40</v>
      </c>
      <c r="X4" s="95" t="str">
        <f>+Template!X4</f>
        <v>W01</v>
      </c>
      <c r="Y4" s="95" t="str">
        <f>+Template!Y4</f>
        <v>W02</v>
      </c>
      <c r="Z4" s="95" t="str">
        <f>+Template!Z4</f>
        <v>W03</v>
      </c>
      <c r="AA4" s="95" t="str">
        <f>+Template!AA4</f>
        <v>W04</v>
      </c>
      <c r="AB4" s="95" t="str">
        <f>+Template!AB4</f>
        <v>M01</v>
      </c>
      <c r="AC4" s="95" t="str">
        <f>+Template!AC4</f>
        <v>M02</v>
      </c>
      <c r="AD4" s="95" t="str">
        <f>+Template!AD4</f>
        <v>M03</v>
      </c>
      <c r="AE4" s="95" t="str">
        <f>+Template!AE4</f>
        <v>M04</v>
      </c>
      <c r="AF4" s="95" t="str">
        <f>+Template!AF4</f>
        <v>Q01</v>
      </c>
      <c r="AG4" s="95" t="str">
        <f>+Template!AG4</f>
        <v>Q02</v>
      </c>
      <c r="AH4" s="98"/>
      <c r="AI4" s="94">
        <f>+Template!D4</f>
        <v>1</v>
      </c>
      <c r="AJ4" s="95">
        <f>+Template!E4</f>
        <v>10</v>
      </c>
      <c r="AK4" s="95">
        <f>+Template!F4</f>
        <v>11</v>
      </c>
      <c r="AL4" s="95">
        <f>+Template!G4</f>
        <v>12</v>
      </c>
      <c r="AM4" s="95">
        <f>+Template!H4</f>
        <v>13</v>
      </c>
      <c r="AN4" s="95">
        <f>+Template!I4</f>
        <v>14</v>
      </c>
      <c r="AO4" s="95">
        <f>+Template!J4</f>
        <v>15</v>
      </c>
      <c r="AP4" s="95">
        <f>+Template!K4</f>
        <v>16</v>
      </c>
      <c r="AQ4" s="95">
        <f>+Template!L4</f>
        <v>17</v>
      </c>
      <c r="AR4" s="95">
        <v>18</v>
      </c>
      <c r="AS4" s="95">
        <v>19</v>
      </c>
      <c r="AT4" s="95">
        <f>+Template!O4</f>
        <v>20</v>
      </c>
      <c r="AU4" s="95">
        <f>+Template!P4</f>
        <v>21</v>
      </c>
      <c r="AV4" s="95">
        <v>22</v>
      </c>
      <c r="AW4" s="95">
        <f>+Template!R4</f>
        <v>30</v>
      </c>
      <c r="AX4" s="95">
        <f>+Template!S4</f>
        <v>31</v>
      </c>
      <c r="AY4" s="95">
        <f>+Template!T4</f>
        <v>32</v>
      </c>
      <c r="AZ4" s="95">
        <f>+Template!U4</f>
        <v>33</v>
      </c>
      <c r="BA4" s="95">
        <f>+Template!V4</f>
        <v>34</v>
      </c>
      <c r="BB4" s="95">
        <f>+Template!W4</f>
        <v>40</v>
      </c>
      <c r="BC4" s="95" t="str">
        <f>+Template!X4</f>
        <v>W01</v>
      </c>
      <c r="BD4" s="95" t="str">
        <f>+Template!Y4</f>
        <v>W02</v>
      </c>
      <c r="BE4" s="95" t="str">
        <f>+Template!Z4</f>
        <v>W03</v>
      </c>
      <c r="BF4" s="95" t="str">
        <f>+Template!AA4</f>
        <v>W04</v>
      </c>
      <c r="BG4" s="95" t="str">
        <f>+Template!AB4</f>
        <v>M01</v>
      </c>
      <c r="BH4" s="95" t="str">
        <f>+Template!AC4</f>
        <v>M02</v>
      </c>
      <c r="BI4" s="95" t="str">
        <f>+Template!AD4</f>
        <v>M03</v>
      </c>
      <c r="BJ4" s="95" t="str">
        <f>+Template!AE4</f>
        <v>M04</v>
      </c>
      <c r="BK4" s="95" t="str">
        <f>+Template!AF4</f>
        <v>Q01</v>
      </c>
      <c r="BL4" s="95" t="str">
        <f>+Template!AG4</f>
        <v>Q02</v>
      </c>
      <c r="BM4" s="98"/>
      <c r="BN4" s="94">
        <f>+Template!D4</f>
        <v>1</v>
      </c>
      <c r="BO4" s="95">
        <f>+Template!E4</f>
        <v>10</v>
      </c>
      <c r="BP4" s="95">
        <f>+Template!F4</f>
        <v>11</v>
      </c>
      <c r="BQ4" s="95">
        <f>+Template!G4</f>
        <v>12</v>
      </c>
      <c r="BR4" s="95">
        <f>+Template!H4</f>
        <v>13</v>
      </c>
      <c r="BS4" s="95">
        <f>+Template!I4</f>
        <v>14</v>
      </c>
      <c r="BT4" s="95">
        <f>+Template!J4</f>
        <v>15</v>
      </c>
      <c r="BU4" s="95">
        <f>+Template!K4</f>
        <v>16</v>
      </c>
      <c r="BV4" s="95">
        <f>+Template!L4</f>
        <v>17</v>
      </c>
      <c r="BW4" s="95">
        <v>18</v>
      </c>
      <c r="BX4" s="95">
        <v>19</v>
      </c>
      <c r="BY4" s="95">
        <f>+Template!O4</f>
        <v>20</v>
      </c>
      <c r="BZ4" s="95">
        <f>+Template!P4</f>
        <v>21</v>
      </c>
      <c r="CA4" s="95">
        <v>22</v>
      </c>
      <c r="CB4" s="95">
        <f>+Template!R4</f>
        <v>30</v>
      </c>
      <c r="CC4" s="95">
        <f>+Template!S4</f>
        <v>31</v>
      </c>
      <c r="CD4" s="95">
        <f>+Template!T4</f>
        <v>32</v>
      </c>
      <c r="CE4" s="95">
        <f>+Template!U4</f>
        <v>33</v>
      </c>
      <c r="CF4" s="95">
        <f>+Template!V4</f>
        <v>34</v>
      </c>
      <c r="CG4" s="95">
        <f>+Template!W4</f>
        <v>40</v>
      </c>
      <c r="CH4" s="95" t="str">
        <f>+Template!X4</f>
        <v>W01</v>
      </c>
      <c r="CI4" s="95" t="str">
        <f>+Template!Y4</f>
        <v>W02</v>
      </c>
      <c r="CJ4" s="95" t="str">
        <f>+Template!Z4</f>
        <v>W03</v>
      </c>
      <c r="CK4" s="95" t="str">
        <f>+Template!AA4</f>
        <v>W04</v>
      </c>
      <c r="CL4" s="95" t="str">
        <f>+Template!AB4</f>
        <v>M01</v>
      </c>
      <c r="CM4" s="95" t="str">
        <f>+Template!AC4</f>
        <v>M02</v>
      </c>
      <c r="CN4" s="95" t="str">
        <f>+Template!AD4</f>
        <v>M03</v>
      </c>
      <c r="CO4" s="95" t="str">
        <f>+Template!AE4</f>
        <v>M04</v>
      </c>
      <c r="CP4" s="95" t="str">
        <f>+Template!AF4</f>
        <v>Q01</v>
      </c>
      <c r="CQ4" s="95" t="str">
        <f>+Template!AG4</f>
        <v>Q02</v>
      </c>
      <c r="CR4" s="98"/>
      <c r="CS4" s="94">
        <f>+Template!D4</f>
        <v>1</v>
      </c>
      <c r="CT4" s="95">
        <f>+Template!E4</f>
        <v>10</v>
      </c>
      <c r="CU4" s="95">
        <f>+Template!F4</f>
        <v>11</v>
      </c>
      <c r="CV4" s="95">
        <f>+Template!G4</f>
        <v>12</v>
      </c>
      <c r="CW4" s="95">
        <f>+Template!H4</f>
        <v>13</v>
      </c>
      <c r="CX4" s="95">
        <f>+Template!I4</f>
        <v>14</v>
      </c>
      <c r="CY4" s="95">
        <f>+Template!J4</f>
        <v>15</v>
      </c>
      <c r="CZ4" s="95">
        <f>+Template!K4</f>
        <v>16</v>
      </c>
      <c r="DA4" s="95">
        <f>+Template!L4</f>
        <v>17</v>
      </c>
      <c r="DB4" s="95">
        <v>18</v>
      </c>
      <c r="DC4" s="95">
        <v>19</v>
      </c>
      <c r="DD4" s="95">
        <f>+Template!O4</f>
        <v>20</v>
      </c>
      <c r="DE4" s="95">
        <f>+Template!P4</f>
        <v>21</v>
      </c>
      <c r="DF4" s="95">
        <v>22</v>
      </c>
      <c r="DG4" s="95">
        <f>+Template!R4</f>
        <v>30</v>
      </c>
      <c r="DH4" s="95">
        <f>+Template!S4</f>
        <v>31</v>
      </c>
      <c r="DI4" s="95">
        <f>+Template!T4</f>
        <v>32</v>
      </c>
      <c r="DJ4" s="95">
        <f>+Template!U4</f>
        <v>33</v>
      </c>
      <c r="DK4" s="95">
        <f>+Template!V4</f>
        <v>34</v>
      </c>
      <c r="DL4" s="95">
        <f>+Template!W4</f>
        <v>40</v>
      </c>
      <c r="DM4" s="95" t="str">
        <f>+Template!X4</f>
        <v>W01</v>
      </c>
      <c r="DN4" s="95" t="str">
        <f>+Template!Y4</f>
        <v>W02</v>
      </c>
      <c r="DO4" s="95" t="str">
        <f>+Template!Z4</f>
        <v>W03</v>
      </c>
      <c r="DP4" s="95" t="str">
        <f>+Template!AA4</f>
        <v>W04</v>
      </c>
      <c r="DQ4" s="95" t="str">
        <f>+Template!AB4</f>
        <v>M01</v>
      </c>
      <c r="DR4" s="95" t="str">
        <f>+Template!AC4</f>
        <v>M02</v>
      </c>
      <c r="DS4" s="95" t="str">
        <f>+Template!AD4</f>
        <v>M03</v>
      </c>
      <c r="DT4" s="95" t="str">
        <f>+Template!AE4</f>
        <v>M04</v>
      </c>
      <c r="DU4" s="95" t="str">
        <f>+Template!AF4</f>
        <v>Q01</v>
      </c>
      <c r="DV4" s="95" t="str">
        <f>+Template!AG4</f>
        <v>Q02</v>
      </c>
      <c r="DW4" s="98"/>
      <c r="DX4" s="125"/>
      <c r="DY4" s="126"/>
      <c r="DZ4" s="126"/>
      <c r="EA4" s="126"/>
    </row>
    <row r="5" spans="1:141" x14ac:dyDescent="0.4">
      <c r="A5" s="74">
        <f>WEEKDAY(C5)</f>
        <v>4</v>
      </c>
      <c r="B5" s="74">
        <v>1</v>
      </c>
      <c r="C5" s="127">
        <f>DATE(Jaartal,April!$B$3,April!$B5)</f>
        <v>43922</v>
      </c>
      <c r="D5" s="100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2"/>
      <c r="AI5" s="100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2"/>
      <c r="BN5" s="100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2"/>
      <c r="CS5" s="100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3"/>
      <c r="DJ5" s="103"/>
      <c r="DK5" s="103"/>
      <c r="DL5" s="103"/>
      <c r="DM5" s="103"/>
      <c r="DN5" s="103"/>
      <c r="DO5" s="103"/>
      <c r="DP5" s="103"/>
      <c r="DQ5" s="103"/>
      <c r="DR5" s="103"/>
      <c r="DS5" s="103"/>
      <c r="DT5" s="103"/>
      <c r="DU5" s="103"/>
      <c r="DV5" s="103"/>
      <c r="DW5" s="102"/>
      <c r="DX5" s="128"/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</row>
    <row r="6" spans="1:141" x14ac:dyDescent="0.4">
      <c r="A6" s="74">
        <f t="shared" ref="A6:A35" si="0">WEEKDAY(C6)</f>
        <v>5</v>
      </c>
      <c r="B6" s="74">
        <v>2</v>
      </c>
      <c r="C6" s="127">
        <f>DATE(Jaartal,April!$B$3,April!$B6)</f>
        <v>43923</v>
      </c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6"/>
      <c r="AI6" s="104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6"/>
      <c r="BN6" s="104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6"/>
      <c r="CS6" s="104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6"/>
      <c r="DX6" s="128"/>
      <c r="DY6" s="128"/>
      <c r="DZ6" s="128"/>
      <c r="EA6" s="128"/>
      <c r="EB6" s="128"/>
      <c r="EC6" s="128"/>
      <c r="ED6" s="128"/>
      <c r="EE6" s="128"/>
      <c r="EF6" s="128"/>
      <c r="EG6" s="128"/>
      <c r="EH6" s="128"/>
      <c r="EI6" s="128"/>
      <c r="EJ6" s="128"/>
      <c r="EK6" s="128"/>
    </row>
    <row r="7" spans="1:141" x14ac:dyDescent="0.4">
      <c r="A7" s="74">
        <f t="shared" si="0"/>
        <v>6</v>
      </c>
      <c r="B7" s="74">
        <v>3</v>
      </c>
      <c r="C7" s="127">
        <f>DATE(Jaartal,April!$B$3,April!$B7)</f>
        <v>43924</v>
      </c>
      <c r="D7" s="104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6"/>
      <c r="AI7" s="104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6"/>
      <c r="BN7" s="104"/>
      <c r="BO7" s="105"/>
      <c r="BP7" s="105"/>
      <c r="BQ7" s="105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6"/>
      <c r="CS7" s="104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6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</row>
    <row r="8" spans="1:141" x14ac:dyDescent="0.4">
      <c r="A8" s="74">
        <f t="shared" si="0"/>
        <v>7</v>
      </c>
      <c r="B8" s="74">
        <v>4</v>
      </c>
      <c r="C8" s="127">
        <f>DATE(Jaartal,April!$B$3,April!$B8)</f>
        <v>43925</v>
      </c>
      <c r="D8" s="104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6"/>
      <c r="AI8" s="104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6"/>
      <c r="BN8" s="104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6"/>
      <c r="CS8" s="104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/>
      <c r="DT8" s="107"/>
      <c r="DU8" s="107"/>
      <c r="DV8" s="107"/>
      <c r="DW8" s="106"/>
      <c r="DX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</row>
    <row r="9" spans="1:141" x14ac:dyDescent="0.4">
      <c r="A9" s="74">
        <f t="shared" si="0"/>
        <v>1</v>
      </c>
      <c r="B9" s="74">
        <v>5</v>
      </c>
      <c r="C9" s="127">
        <f>DATE(Jaartal,April!$B$3,April!$B9)</f>
        <v>43926</v>
      </c>
      <c r="D9" s="104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6"/>
      <c r="AI9" s="104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6"/>
      <c r="BN9" s="104"/>
      <c r="BO9" s="105"/>
      <c r="BP9" s="105"/>
      <c r="BQ9" s="105"/>
      <c r="BR9" s="105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6"/>
      <c r="CS9" s="104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5"/>
      <c r="DH9" s="105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6"/>
      <c r="DX9" s="128"/>
      <c r="DY9" s="128"/>
      <c r="DZ9" s="128"/>
      <c r="EA9" s="128"/>
      <c r="EB9" s="128"/>
      <c r="EC9" s="128"/>
      <c r="ED9" s="128"/>
      <c r="EE9" s="128"/>
      <c r="EF9" s="128"/>
      <c r="EG9" s="128"/>
      <c r="EH9" s="128"/>
      <c r="EI9" s="128"/>
      <c r="EJ9" s="128"/>
      <c r="EK9" s="128"/>
    </row>
    <row r="10" spans="1:141" x14ac:dyDescent="0.4">
      <c r="A10" s="74">
        <f t="shared" si="0"/>
        <v>2</v>
      </c>
      <c r="B10" s="74">
        <v>6</v>
      </c>
      <c r="C10" s="127">
        <f>DATE(Jaartal,April!$B$3,April!$B10)</f>
        <v>43927</v>
      </c>
      <c r="D10" s="104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6"/>
      <c r="AI10" s="104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6"/>
      <c r="BN10" s="104"/>
      <c r="BO10" s="105"/>
      <c r="BP10" s="105"/>
      <c r="BQ10" s="105"/>
      <c r="BR10" s="105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6"/>
      <c r="CS10" s="104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5"/>
      <c r="DH10" s="105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6"/>
      <c r="DX10" s="128"/>
      <c r="DY10" s="128"/>
      <c r="DZ10" s="128"/>
      <c r="EA10" s="128"/>
      <c r="EB10" s="128"/>
      <c r="EC10" s="128"/>
      <c r="ED10" s="128"/>
      <c r="EE10" s="128"/>
      <c r="EF10" s="128"/>
      <c r="EG10" s="128"/>
      <c r="EH10" s="128"/>
      <c r="EI10" s="128"/>
      <c r="EJ10" s="128"/>
      <c r="EK10" s="128"/>
    </row>
    <row r="11" spans="1:141" x14ac:dyDescent="0.4">
      <c r="A11" s="74">
        <f t="shared" si="0"/>
        <v>3</v>
      </c>
      <c r="B11" s="74">
        <v>7</v>
      </c>
      <c r="C11" s="127">
        <f>DATE(Jaartal,April!$B$3,April!$B11)</f>
        <v>43928</v>
      </c>
      <c r="D11" s="104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6"/>
      <c r="AI11" s="104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6"/>
      <c r="BN11" s="104"/>
      <c r="BO11" s="105"/>
      <c r="BP11" s="105"/>
      <c r="BQ11" s="105"/>
      <c r="BR11" s="105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6"/>
      <c r="CS11" s="104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5"/>
      <c r="DH11" s="105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6"/>
      <c r="DX11" s="128"/>
      <c r="DY11" s="128"/>
      <c r="DZ11" s="128"/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</row>
    <row r="12" spans="1:141" x14ac:dyDescent="0.4">
      <c r="A12" s="74">
        <f t="shared" si="0"/>
        <v>4</v>
      </c>
      <c r="B12" s="74">
        <v>8</v>
      </c>
      <c r="C12" s="127">
        <f>DATE(Jaartal,April!$B$3,April!$B12)</f>
        <v>43929</v>
      </c>
      <c r="D12" s="104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6"/>
      <c r="AI12" s="104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6"/>
      <c r="BN12" s="104"/>
      <c r="BO12" s="105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6"/>
      <c r="CS12" s="104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5"/>
      <c r="DH12" s="105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6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</row>
    <row r="13" spans="1:141" x14ac:dyDescent="0.4">
      <c r="A13" s="74">
        <f t="shared" si="0"/>
        <v>5</v>
      </c>
      <c r="B13" s="74">
        <v>9</v>
      </c>
      <c r="C13" s="127">
        <f>DATE(Jaartal,April!$B$3,April!$B13)</f>
        <v>43930</v>
      </c>
      <c r="D13" s="104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6"/>
      <c r="AI13" s="104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6"/>
      <c r="BN13" s="104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6"/>
      <c r="CS13" s="104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5"/>
      <c r="DH13" s="105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6"/>
      <c r="DX13" s="128"/>
      <c r="DY13" s="128"/>
      <c r="DZ13" s="128"/>
      <c r="EA13" s="128"/>
      <c r="EB13" s="128"/>
      <c r="EC13" s="128"/>
      <c r="ED13" s="128"/>
      <c r="EE13" s="128"/>
      <c r="EF13" s="128"/>
      <c r="EG13" s="128"/>
      <c r="EH13" s="128"/>
      <c r="EI13" s="128"/>
      <c r="EJ13" s="128"/>
      <c r="EK13" s="128"/>
    </row>
    <row r="14" spans="1:141" x14ac:dyDescent="0.4">
      <c r="A14" s="74">
        <f t="shared" si="0"/>
        <v>6</v>
      </c>
      <c r="B14" s="74">
        <v>10</v>
      </c>
      <c r="C14" s="127">
        <f>DATE(Jaartal,April!$B$3,April!$B14)</f>
        <v>43931</v>
      </c>
      <c r="D14" s="104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6"/>
      <c r="AI14" s="104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6"/>
      <c r="BN14" s="104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6"/>
      <c r="CS14" s="104"/>
      <c r="CT14" s="105"/>
      <c r="CU14" s="105"/>
      <c r="CV14" s="105"/>
      <c r="CW14" s="105"/>
      <c r="CX14" s="105"/>
      <c r="CY14" s="105"/>
      <c r="CZ14" s="105"/>
      <c r="DA14" s="105"/>
      <c r="DB14" s="105"/>
      <c r="DC14" s="105"/>
      <c r="DD14" s="105"/>
      <c r="DE14" s="105"/>
      <c r="DF14" s="105"/>
      <c r="DG14" s="105"/>
      <c r="DH14" s="105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6"/>
      <c r="DX14" s="128"/>
      <c r="DY14" s="128"/>
      <c r="DZ14" s="128"/>
      <c r="EA14" s="128"/>
      <c r="EB14" s="128"/>
      <c r="EC14" s="128"/>
      <c r="ED14" s="128"/>
      <c r="EE14" s="128"/>
      <c r="EF14" s="128"/>
      <c r="EG14" s="128"/>
      <c r="EH14" s="128"/>
      <c r="EI14" s="128"/>
      <c r="EJ14" s="128"/>
      <c r="EK14" s="128"/>
    </row>
    <row r="15" spans="1:141" x14ac:dyDescent="0.4">
      <c r="A15" s="74">
        <f t="shared" si="0"/>
        <v>7</v>
      </c>
      <c r="B15" s="74">
        <v>11</v>
      </c>
      <c r="C15" s="127">
        <f>DATE(Jaartal,April!$B$3,April!$B15)</f>
        <v>43932</v>
      </c>
      <c r="D15" s="104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6"/>
      <c r="AI15" s="104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6"/>
      <c r="BN15" s="104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6"/>
      <c r="CS15" s="104"/>
      <c r="CT15" s="105"/>
      <c r="CU15" s="105"/>
      <c r="CV15" s="105"/>
      <c r="CW15" s="105"/>
      <c r="CX15" s="105"/>
      <c r="CY15" s="105"/>
      <c r="CZ15" s="105"/>
      <c r="DA15" s="105"/>
      <c r="DB15" s="105"/>
      <c r="DC15" s="105"/>
      <c r="DD15" s="105"/>
      <c r="DE15" s="105"/>
      <c r="DF15" s="105"/>
      <c r="DG15" s="105"/>
      <c r="DH15" s="105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6"/>
      <c r="DX15" s="128"/>
      <c r="DY15" s="128"/>
      <c r="DZ15" s="128"/>
      <c r="EA15" s="128"/>
      <c r="EB15" s="128"/>
      <c r="EC15" s="128"/>
      <c r="ED15" s="128"/>
      <c r="EE15" s="128"/>
      <c r="EF15" s="128"/>
      <c r="EG15" s="128"/>
      <c r="EH15" s="128"/>
      <c r="EI15" s="128"/>
      <c r="EJ15" s="128"/>
      <c r="EK15" s="128"/>
    </row>
    <row r="16" spans="1:141" x14ac:dyDescent="0.4">
      <c r="A16" s="74">
        <f t="shared" si="0"/>
        <v>1</v>
      </c>
      <c r="B16" s="74">
        <v>12</v>
      </c>
      <c r="C16" s="127">
        <f>DATE(Jaartal,April!$B$3,April!$B16)</f>
        <v>43933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6"/>
      <c r="AI16" s="104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6"/>
      <c r="BN16" s="104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6"/>
      <c r="DX16" s="128"/>
      <c r="DY16" s="128"/>
      <c r="DZ16" s="128"/>
      <c r="EA16" s="128"/>
      <c r="EB16" s="128"/>
      <c r="EC16" s="128"/>
      <c r="ED16" s="128"/>
      <c r="EE16" s="128"/>
      <c r="EF16" s="128"/>
      <c r="EG16" s="128"/>
      <c r="EH16" s="128"/>
      <c r="EI16" s="128"/>
      <c r="EJ16" s="128"/>
      <c r="EK16" s="128"/>
    </row>
    <row r="17" spans="1:141" x14ac:dyDescent="0.4">
      <c r="A17" s="74">
        <f t="shared" si="0"/>
        <v>2</v>
      </c>
      <c r="B17" s="74">
        <v>13</v>
      </c>
      <c r="C17" s="127">
        <f>DATE(Jaartal,April!$B$3,April!$B17)</f>
        <v>43934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6"/>
      <c r="AI17" s="104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6"/>
      <c r="BN17" s="104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6"/>
      <c r="CS17" s="104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6"/>
      <c r="DX17" s="128"/>
      <c r="DY17" s="128"/>
      <c r="DZ17" s="128"/>
      <c r="EA17" s="128"/>
      <c r="EB17" s="128"/>
      <c r="EC17" s="128"/>
      <c r="ED17" s="128"/>
      <c r="EE17" s="128"/>
      <c r="EF17" s="128"/>
      <c r="EG17" s="128"/>
      <c r="EH17" s="128"/>
      <c r="EI17" s="128"/>
      <c r="EJ17" s="128"/>
      <c r="EK17" s="128"/>
    </row>
    <row r="18" spans="1:141" x14ac:dyDescent="0.4">
      <c r="A18" s="74">
        <f t="shared" si="0"/>
        <v>3</v>
      </c>
      <c r="B18" s="74">
        <v>14</v>
      </c>
      <c r="C18" s="127">
        <f>DATE(Jaartal,April!$B$3,April!$B18)</f>
        <v>43935</v>
      </c>
      <c r="D18" s="104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6"/>
      <c r="AI18" s="104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6"/>
      <c r="BN18" s="104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6"/>
      <c r="CS18" s="104"/>
      <c r="CT18" s="105"/>
      <c r="CU18" s="105"/>
      <c r="CV18" s="105"/>
      <c r="CW18" s="105"/>
      <c r="CX18" s="105"/>
      <c r="CY18" s="105"/>
      <c r="CZ18" s="105"/>
      <c r="DA18" s="105"/>
      <c r="DB18" s="105"/>
      <c r="DC18" s="105"/>
      <c r="DD18" s="105"/>
      <c r="DE18" s="105"/>
      <c r="DF18" s="105"/>
      <c r="DG18" s="105"/>
      <c r="DH18" s="105"/>
      <c r="DI18" s="107"/>
      <c r="DJ18" s="107"/>
      <c r="DK18" s="107"/>
      <c r="DL18" s="107"/>
      <c r="DM18" s="107"/>
      <c r="DN18" s="107"/>
      <c r="DO18" s="107"/>
      <c r="DP18" s="107"/>
      <c r="DQ18" s="107"/>
      <c r="DR18" s="107"/>
      <c r="DS18" s="107"/>
      <c r="DT18" s="107"/>
      <c r="DU18" s="107"/>
      <c r="DV18" s="107"/>
      <c r="DW18" s="106"/>
      <c r="DX18" s="128"/>
      <c r="DY18" s="128"/>
      <c r="DZ18" s="128"/>
      <c r="EA18" s="128"/>
      <c r="EB18" s="128"/>
      <c r="EC18" s="128"/>
      <c r="ED18" s="128"/>
      <c r="EE18" s="128"/>
      <c r="EF18" s="128"/>
      <c r="EG18" s="128"/>
      <c r="EH18" s="128"/>
      <c r="EI18" s="128"/>
      <c r="EJ18" s="128"/>
      <c r="EK18" s="128"/>
    </row>
    <row r="19" spans="1:141" x14ac:dyDescent="0.4">
      <c r="A19" s="74">
        <f t="shared" si="0"/>
        <v>4</v>
      </c>
      <c r="B19" s="74">
        <v>15</v>
      </c>
      <c r="C19" s="127">
        <f>DATE(Jaartal,April!$B$3,April!$B19)</f>
        <v>43936</v>
      </c>
      <c r="D19" s="104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6"/>
      <c r="AI19" s="104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6"/>
      <c r="BN19" s="104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6"/>
      <c r="CS19" s="104"/>
      <c r="CT19" s="105"/>
      <c r="CU19" s="105"/>
      <c r="CV19" s="105"/>
      <c r="CW19" s="105"/>
      <c r="CX19" s="105"/>
      <c r="CY19" s="105"/>
      <c r="CZ19" s="105"/>
      <c r="DA19" s="105"/>
      <c r="DB19" s="105"/>
      <c r="DC19" s="105"/>
      <c r="DD19" s="105"/>
      <c r="DE19" s="105"/>
      <c r="DF19" s="105"/>
      <c r="DG19" s="105"/>
      <c r="DH19" s="105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6"/>
      <c r="DX19" s="128"/>
      <c r="DY19" s="128"/>
      <c r="DZ19" s="128"/>
      <c r="EA19" s="128"/>
      <c r="EB19" s="128"/>
      <c r="EC19" s="128"/>
      <c r="ED19" s="128"/>
      <c r="EE19" s="128"/>
      <c r="EF19" s="128"/>
      <c r="EG19" s="128"/>
      <c r="EH19" s="128"/>
      <c r="EI19" s="128"/>
      <c r="EJ19" s="128"/>
      <c r="EK19" s="128"/>
    </row>
    <row r="20" spans="1:141" x14ac:dyDescent="0.4">
      <c r="A20" s="74">
        <f t="shared" si="0"/>
        <v>5</v>
      </c>
      <c r="B20" s="74">
        <v>16</v>
      </c>
      <c r="C20" s="127">
        <f>DATE(Jaartal,April!$B$3,April!$B20)</f>
        <v>43937</v>
      </c>
      <c r="D20" s="104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6"/>
      <c r="AI20" s="104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6"/>
      <c r="BN20" s="104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6"/>
      <c r="CS20" s="104"/>
      <c r="CT20" s="105"/>
      <c r="CU20" s="105"/>
      <c r="CV20" s="105"/>
      <c r="CW20" s="105"/>
      <c r="CX20" s="105"/>
      <c r="CY20" s="105"/>
      <c r="CZ20" s="105"/>
      <c r="DA20" s="105"/>
      <c r="DB20" s="105"/>
      <c r="DC20" s="105"/>
      <c r="DD20" s="105"/>
      <c r="DE20" s="105"/>
      <c r="DF20" s="105"/>
      <c r="DG20" s="105"/>
      <c r="DH20" s="105"/>
      <c r="DI20" s="107"/>
      <c r="DJ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U20" s="107"/>
      <c r="DV20" s="107"/>
      <c r="DW20" s="106"/>
      <c r="DX20" s="128"/>
      <c r="DY20" s="128"/>
      <c r="DZ20" s="128"/>
      <c r="EA20" s="128"/>
      <c r="EB20" s="128"/>
      <c r="EC20" s="128"/>
      <c r="ED20" s="128"/>
      <c r="EE20" s="128"/>
      <c r="EF20" s="128"/>
      <c r="EG20" s="128"/>
      <c r="EH20" s="128"/>
      <c r="EI20" s="128"/>
      <c r="EJ20" s="128"/>
      <c r="EK20" s="128"/>
    </row>
    <row r="21" spans="1:141" x14ac:dyDescent="0.4">
      <c r="A21" s="74">
        <f t="shared" si="0"/>
        <v>6</v>
      </c>
      <c r="B21" s="74">
        <v>17</v>
      </c>
      <c r="C21" s="127">
        <f>DATE(Jaartal,April!$B$3,April!$B21)</f>
        <v>43938</v>
      </c>
      <c r="D21" s="104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6"/>
      <c r="AI21" s="104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6"/>
      <c r="BN21" s="104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6"/>
      <c r="CS21" s="104"/>
      <c r="CT21" s="105"/>
      <c r="CU21" s="105"/>
      <c r="CV21" s="105"/>
      <c r="CW21" s="105"/>
      <c r="CX21" s="105"/>
      <c r="CY21" s="105"/>
      <c r="CZ21" s="105"/>
      <c r="DA21" s="105"/>
      <c r="DB21" s="105"/>
      <c r="DC21" s="105"/>
      <c r="DD21" s="105"/>
      <c r="DE21" s="105"/>
      <c r="DF21" s="105"/>
      <c r="DG21" s="105"/>
      <c r="DH21" s="105"/>
      <c r="DI21" s="107"/>
      <c r="DJ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U21" s="107"/>
      <c r="DV21" s="107"/>
      <c r="DW21" s="106"/>
      <c r="DX21" s="128"/>
      <c r="DY21" s="128"/>
      <c r="DZ21" s="128"/>
      <c r="EA21" s="128"/>
      <c r="EB21" s="128"/>
      <c r="EC21" s="128"/>
      <c r="ED21" s="128"/>
      <c r="EE21" s="128"/>
      <c r="EF21" s="128"/>
      <c r="EG21" s="128"/>
      <c r="EH21" s="128"/>
      <c r="EI21" s="128"/>
      <c r="EJ21" s="128"/>
      <c r="EK21" s="128"/>
    </row>
    <row r="22" spans="1:141" x14ac:dyDescent="0.4">
      <c r="A22" s="74">
        <f t="shared" si="0"/>
        <v>7</v>
      </c>
      <c r="B22" s="74">
        <v>18</v>
      </c>
      <c r="C22" s="127">
        <f>DATE(Jaartal,April!$B$3,April!$B22)</f>
        <v>43939</v>
      </c>
      <c r="D22" s="104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6"/>
      <c r="AI22" s="104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6"/>
      <c r="BN22" s="104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6"/>
      <c r="CS22" s="104"/>
      <c r="CT22" s="105"/>
      <c r="CU22" s="105"/>
      <c r="CV22" s="105"/>
      <c r="CW22" s="105"/>
      <c r="CX22" s="105"/>
      <c r="CY22" s="105"/>
      <c r="CZ22" s="105"/>
      <c r="DA22" s="105"/>
      <c r="DB22" s="105"/>
      <c r="DC22" s="105"/>
      <c r="DD22" s="105"/>
      <c r="DE22" s="105"/>
      <c r="DF22" s="105"/>
      <c r="DG22" s="105"/>
      <c r="DH22" s="105"/>
      <c r="DI22" s="107"/>
      <c r="DJ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U22" s="107"/>
      <c r="DV22" s="107"/>
      <c r="DW22" s="106"/>
      <c r="DX22" s="128"/>
      <c r="DY22" s="128"/>
      <c r="DZ22" s="128"/>
      <c r="EA22" s="128"/>
      <c r="EB22" s="128"/>
      <c r="EC22" s="128"/>
      <c r="ED22" s="128"/>
      <c r="EE22" s="128"/>
      <c r="EF22" s="128"/>
      <c r="EG22" s="128"/>
      <c r="EH22" s="128"/>
      <c r="EI22" s="128"/>
      <c r="EJ22" s="128"/>
      <c r="EK22" s="128"/>
    </row>
    <row r="23" spans="1:141" x14ac:dyDescent="0.4">
      <c r="A23" s="74">
        <f t="shared" si="0"/>
        <v>1</v>
      </c>
      <c r="B23" s="74">
        <v>19</v>
      </c>
      <c r="C23" s="127">
        <f>DATE(Jaartal,April!$B$3,April!$B23)</f>
        <v>43940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6"/>
      <c r="AI23" s="104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6"/>
      <c r="BN23" s="104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7"/>
      <c r="CE23" s="107"/>
      <c r="CF23" s="107"/>
      <c r="CG23" s="107"/>
      <c r="CH23" s="107"/>
      <c r="CI23" s="107"/>
      <c r="CJ23" s="107"/>
      <c r="CK23" s="107"/>
      <c r="CL23" s="107"/>
      <c r="CM23" s="107"/>
      <c r="CN23" s="107"/>
      <c r="CO23" s="107"/>
      <c r="CP23" s="107"/>
      <c r="CQ23" s="107"/>
      <c r="CR23" s="106"/>
      <c r="CS23" s="104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5"/>
      <c r="DH23" s="105"/>
      <c r="DI23" s="107"/>
      <c r="DJ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U23" s="107"/>
      <c r="DV23" s="107"/>
      <c r="DW23" s="106"/>
      <c r="DX23" s="128"/>
      <c r="DY23" s="128"/>
      <c r="DZ23" s="128"/>
      <c r="EA23" s="128"/>
      <c r="EB23" s="128"/>
      <c r="EC23" s="128"/>
      <c r="ED23" s="128"/>
      <c r="EE23" s="128"/>
      <c r="EF23" s="128"/>
      <c r="EG23" s="128"/>
      <c r="EH23" s="128"/>
      <c r="EI23" s="128"/>
      <c r="EJ23" s="128"/>
      <c r="EK23" s="128"/>
    </row>
    <row r="24" spans="1:141" x14ac:dyDescent="0.4">
      <c r="A24" s="74">
        <f t="shared" si="0"/>
        <v>2</v>
      </c>
      <c r="B24" s="74">
        <v>20</v>
      </c>
      <c r="C24" s="127">
        <f>DATE(Jaartal,April!$B$3,April!$B24)</f>
        <v>43941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6"/>
      <c r="AI24" s="104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6"/>
      <c r="BN24" s="104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6"/>
      <c r="DX24" s="128"/>
      <c r="DY24" s="128"/>
      <c r="DZ24" s="128"/>
      <c r="EA24" s="128"/>
      <c r="EB24" s="128"/>
      <c r="EC24" s="128"/>
      <c r="ED24" s="128"/>
      <c r="EE24" s="128"/>
      <c r="EF24" s="128"/>
      <c r="EG24" s="128"/>
      <c r="EH24" s="128"/>
      <c r="EI24" s="128"/>
      <c r="EJ24" s="128"/>
      <c r="EK24" s="128"/>
    </row>
    <row r="25" spans="1:141" x14ac:dyDescent="0.4">
      <c r="A25" s="74">
        <f t="shared" si="0"/>
        <v>3</v>
      </c>
      <c r="B25" s="74">
        <v>21</v>
      </c>
      <c r="C25" s="127">
        <f>DATE(Jaartal,April!$B$3,April!$B25)</f>
        <v>43942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6"/>
      <c r="AI25" s="104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6"/>
      <c r="BN25" s="104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U25" s="107"/>
      <c r="DV25" s="107"/>
      <c r="DW25" s="106"/>
      <c r="DX25" s="128"/>
      <c r="DY25" s="128"/>
      <c r="DZ25" s="128"/>
      <c r="EA25" s="128"/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</row>
    <row r="26" spans="1:141" x14ac:dyDescent="0.4">
      <c r="A26" s="74">
        <f t="shared" si="0"/>
        <v>4</v>
      </c>
      <c r="B26" s="74">
        <v>22</v>
      </c>
      <c r="C26" s="127">
        <f>DATE(Jaartal,April!$B$3,April!$B26)</f>
        <v>43943</v>
      </c>
      <c r="D26" s="104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6"/>
      <c r="AI26" s="104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6"/>
      <c r="BN26" s="104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6"/>
      <c r="CS26" s="104"/>
      <c r="CT26" s="105"/>
      <c r="CU26" s="105"/>
      <c r="CV26" s="105"/>
      <c r="CW26" s="105"/>
      <c r="CX26" s="105"/>
      <c r="CY26" s="105"/>
      <c r="CZ26" s="105"/>
      <c r="DA26" s="105"/>
      <c r="DB26" s="105"/>
      <c r="DC26" s="105"/>
      <c r="DD26" s="105"/>
      <c r="DE26" s="105"/>
      <c r="DF26" s="105"/>
      <c r="DG26" s="105"/>
      <c r="DH26" s="105"/>
      <c r="DI26" s="107"/>
      <c r="DJ26" s="107"/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U26" s="107"/>
      <c r="DV26" s="107"/>
      <c r="DW26" s="106"/>
      <c r="DX26" s="128"/>
      <c r="DY26" s="128"/>
      <c r="DZ26" s="128"/>
      <c r="EA26" s="128"/>
      <c r="EB26" s="128"/>
      <c r="EC26" s="128"/>
      <c r="ED26" s="128"/>
      <c r="EE26" s="128"/>
      <c r="EF26" s="128"/>
      <c r="EG26" s="128"/>
      <c r="EH26" s="128"/>
      <c r="EI26" s="128"/>
      <c r="EJ26" s="128"/>
      <c r="EK26" s="128"/>
    </row>
    <row r="27" spans="1:141" x14ac:dyDescent="0.4">
      <c r="A27" s="74">
        <f t="shared" si="0"/>
        <v>5</v>
      </c>
      <c r="B27" s="74">
        <v>23</v>
      </c>
      <c r="C27" s="127">
        <f>DATE(Jaartal,April!$B$3,April!$B27)</f>
        <v>43944</v>
      </c>
      <c r="D27" s="104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6"/>
      <c r="AI27" s="104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6"/>
      <c r="BN27" s="104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6"/>
      <c r="CS27" s="104"/>
      <c r="CT27" s="105"/>
      <c r="CU27" s="105"/>
      <c r="CV27" s="105"/>
      <c r="CW27" s="105"/>
      <c r="CX27" s="105"/>
      <c r="CY27" s="105"/>
      <c r="CZ27" s="105"/>
      <c r="DA27" s="105"/>
      <c r="DB27" s="105"/>
      <c r="DC27" s="105"/>
      <c r="DD27" s="105"/>
      <c r="DE27" s="105"/>
      <c r="DF27" s="105"/>
      <c r="DG27" s="105"/>
      <c r="DH27" s="105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U27" s="107"/>
      <c r="DV27" s="107"/>
      <c r="DW27" s="106"/>
      <c r="DX27" s="128"/>
      <c r="DY27" s="128"/>
      <c r="DZ27" s="128"/>
      <c r="EA27" s="128"/>
      <c r="EB27" s="128"/>
      <c r="EC27" s="128"/>
      <c r="ED27" s="128"/>
      <c r="EE27" s="128"/>
      <c r="EF27" s="128"/>
      <c r="EG27" s="128"/>
      <c r="EH27" s="128"/>
      <c r="EI27" s="128"/>
      <c r="EJ27" s="128"/>
      <c r="EK27" s="128"/>
    </row>
    <row r="28" spans="1:141" x14ac:dyDescent="0.4">
      <c r="A28" s="74">
        <f t="shared" si="0"/>
        <v>6</v>
      </c>
      <c r="B28" s="74">
        <v>24</v>
      </c>
      <c r="C28" s="127">
        <f>DATE(Jaartal,April!$B$3,April!$B28)</f>
        <v>43945</v>
      </c>
      <c r="D28" s="104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6"/>
      <c r="AI28" s="104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6"/>
      <c r="BN28" s="104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6"/>
      <c r="CS28" s="104"/>
      <c r="CT28" s="105"/>
      <c r="CU28" s="105"/>
      <c r="CV28" s="105"/>
      <c r="CW28" s="105"/>
      <c r="CX28" s="105"/>
      <c r="CY28" s="105"/>
      <c r="CZ28" s="105"/>
      <c r="DA28" s="105"/>
      <c r="DB28" s="105"/>
      <c r="DC28" s="105"/>
      <c r="DD28" s="105"/>
      <c r="DE28" s="105"/>
      <c r="DF28" s="105"/>
      <c r="DG28" s="105"/>
      <c r="DH28" s="105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6"/>
      <c r="DX28" s="128"/>
      <c r="DY28" s="128"/>
      <c r="DZ28" s="128"/>
      <c r="EA28" s="128"/>
      <c r="EB28" s="128"/>
      <c r="EC28" s="128"/>
      <c r="ED28" s="128"/>
      <c r="EE28" s="128"/>
      <c r="EF28" s="128"/>
      <c r="EG28" s="128"/>
      <c r="EH28" s="128"/>
      <c r="EI28" s="128"/>
      <c r="EJ28" s="128"/>
      <c r="EK28" s="128"/>
    </row>
    <row r="29" spans="1:141" x14ac:dyDescent="0.4">
      <c r="A29" s="74">
        <f t="shared" si="0"/>
        <v>7</v>
      </c>
      <c r="B29" s="74">
        <v>25</v>
      </c>
      <c r="C29" s="127">
        <f>DATE(Jaartal,April!$B$3,April!$B29)</f>
        <v>43946</v>
      </c>
      <c r="D29" s="104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6"/>
      <c r="AI29" s="104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6"/>
      <c r="BN29" s="104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6"/>
      <c r="CS29" s="104"/>
      <c r="CT29" s="105"/>
      <c r="CU29" s="105"/>
      <c r="CV29" s="105"/>
      <c r="CW29" s="105"/>
      <c r="CX29" s="105"/>
      <c r="CY29" s="105"/>
      <c r="CZ29" s="105"/>
      <c r="DA29" s="105"/>
      <c r="DB29" s="105"/>
      <c r="DC29" s="105"/>
      <c r="DD29" s="105"/>
      <c r="DE29" s="105"/>
      <c r="DF29" s="105"/>
      <c r="DG29" s="105"/>
      <c r="DH29" s="105"/>
      <c r="DI29" s="107"/>
      <c r="DJ29" s="107"/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U29" s="107"/>
      <c r="DV29" s="107"/>
      <c r="DW29" s="106"/>
      <c r="DX29" s="128"/>
      <c r="DY29" s="128"/>
      <c r="DZ29" s="128"/>
      <c r="EA29" s="128"/>
      <c r="EB29" s="128"/>
      <c r="EC29" s="128"/>
      <c r="ED29" s="128"/>
      <c r="EE29" s="128"/>
      <c r="EF29" s="128"/>
      <c r="EG29" s="128"/>
      <c r="EH29" s="128"/>
      <c r="EI29" s="128"/>
      <c r="EJ29" s="128"/>
      <c r="EK29" s="128"/>
    </row>
    <row r="30" spans="1:141" x14ac:dyDescent="0.4">
      <c r="A30" s="74">
        <f t="shared" si="0"/>
        <v>1</v>
      </c>
      <c r="B30" s="74">
        <v>26</v>
      </c>
      <c r="C30" s="127">
        <f>DATE(Jaartal,April!$B$3,April!$B30)</f>
        <v>43947</v>
      </c>
      <c r="D30" s="104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6"/>
      <c r="AI30" s="104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6"/>
      <c r="BN30" s="104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6"/>
      <c r="CS30" s="104"/>
      <c r="CT30" s="105"/>
      <c r="CU30" s="105"/>
      <c r="CV30" s="105"/>
      <c r="CW30" s="105"/>
      <c r="CX30" s="105"/>
      <c r="CY30" s="105"/>
      <c r="CZ30" s="105"/>
      <c r="DA30" s="105"/>
      <c r="DB30" s="105"/>
      <c r="DC30" s="105"/>
      <c r="DD30" s="105"/>
      <c r="DE30" s="105"/>
      <c r="DF30" s="105"/>
      <c r="DG30" s="105"/>
      <c r="DH30" s="105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U30" s="107"/>
      <c r="DV30" s="107"/>
      <c r="DW30" s="106"/>
      <c r="DX30" s="128"/>
      <c r="DY30" s="128"/>
      <c r="DZ30" s="128"/>
      <c r="EA30" s="128"/>
      <c r="EB30" s="128"/>
      <c r="EC30" s="128"/>
      <c r="ED30" s="128"/>
      <c r="EE30" s="128"/>
      <c r="EF30" s="128"/>
      <c r="EG30" s="128"/>
      <c r="EH30" s="128"/>
      <c r="EI30" s="128"/>
      <c r="EJ30" s="128"/>
      <c r="EK30" s="128"/>
    </row>
    <row r="31" spans="1:141" x14ac:dyDescent="0.4">
      <c r="A31" s="74">
        <f t="shared" si="0"/>
        <v>2</v>
      </c>
      <c r="B31" s="74">
        <v>27</v>
      </c>
      <c r="C31" s="127">
        <f>DATE(Jaartal,April!$B$3,April!$B31)</f>
        <v>43948</v>
      </c>
      <c r="D31" s="104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6"/>
      <c r="AI31" s="104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6"/>
      <c r="BN31" s="104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6"/>
      <c r="CS31" s="104"/>
      <c r="CT31" s="105"/>
      <c r="CU31" s="105"/>
      <c r="CV31" s="105"/>
      <c r="CW31" s="105"/>
      <c r="CX31" s="105"/>
      <c r="CY31" s="105"/>
      <c r="CZ31" s="105"/>
      <c r="DA31" s="105"/>
      <c r="DB31" s="105"/>
      <c r="DC31" s="105"/>
      <c r="DD31" s="105"/>
      <c r="DE31" s="105"/>
      <c r="DF31" s="105"/>
      <c r="DG31" s="105"/>
      <c r="DH31" s="105"/>
      <c r="DI31" s="107"/>
      <c r="DJ31" s="107"/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U31" s="107"/>
      <c r="DV31" s="107"/>
      <c r="DW31" s="106"/>
      <c r="DX31" s="128"/>
      <c r="DY31" s="128"/>
      <c r="DZ31" s="128"/>
      <c r="EA31" s="128"/>
      <c r="EB31" s="128"/>
      <c r="EC31" s="128"/>
      <c r="ED31" s="128"/>
      <c r="EE31" s="128"/>
      <c r="EF31" s="128"/>
      <c r="EG31" s="128"/>
      <c r="EH31" s="128"/>
      <c r="EI31" s="128"/>
      <c r="EJ31" s="128"/>
      <c r="EK31" s="128"/>
    </row>
    <row r="32" spans="1:141" x14ac:dyDescent="0.4">
      <c r="A32" s="74">
        <f t="shared" si="0"/>
        <v>3</v>
      </c>
      <c r="B32" s="74">
        <v>28</v>
      </c>
      <c r="C32" s="127">
        <f>DATE(Jaartal,April!$B$3,April!$B32)</f>
        <v>43949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6"/>
      <c r="AI32" s="104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6"/>
      <c r="BN32" s="104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6"/>
      <c r="CS32" s="104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6"/>
      <c r="DX32" s="128"/>
      <c r="DY32" s="128"/>
      <c r="DZ32" s="128"/>
      <c r="EA32" s="128"/>
      <c r="EB32" s="128"/>
      <c r="EC32" s="128"/>
      <c r="ED32" s="128"/>
      <c r="EE32" s="128"/>
      <c r="EF32" s="128"/>
      <c r="EG32" s="128"/>
      <c r="EH32" s="128"/>
      <c r="EI32" s="128"/>
      <c r="EJ32" s="128"/>
      <c r="EK32" s="128"/>
    </row>
    <row r="33" spans="1:141" x14ac:dyDescent="0.4">
      <c r="A33" s="74">
        <f t="shared" si="0"/>
        <v>4</v>
      </c>
      <c r="B33" s="74">
        <v>29</v>
      </c>
      <c r="C33" s="127">
        <f>DATE(Jaartal,April!$B$3,April!$B33)</f>
        <v>43950</v>
      </c>
      <c r="D33" s="104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6"/>
      <c r="AI33" s="104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6"/>
      <c r="BN33" s="104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6"/>
      <c r="CS33" s="104"/>
      <c r="CT33" s="105"/>
      <c r="CU33" s="105"/>
      <c r="CV33" s="105"/>
      <c r="CW33" s="105"/>
      <c r="CX33" s="105"/>
      <c r="CY33" s="105"/>
      <c r="CZ33" s="105"/>
      <c r="DA33" s="105"/>
      <c r="DB33" s="105"/>
      <c r="DC33" s="105"/>
      <c r="DD33" s="105"/>
      <c r="DE33" s="105"/>
      <c r="DF33" s="105"/>
      <c r="DG33" s="105"/>
      <c r="DH33" s="105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6"/>
      <c r="DX33" s="128"/>
      <c r="DY33" s="128"/>
      <c r="DZ33" s="128"/>
      <c r="EA33" s="128"/>
      <c r="EB33" s="128"/>
      <c r="EC33" s="128"/>
      <c r="ED33" s="128"/>
      <c r="EE33" s="128"/>
      <c r="EF33" s="128"/>
      <c r="EG33" s="128"/>
      <c r="EH33" s="128"/>
      <c r="EI33" s="128"/>
      <c r="EJ33" s="128"/>
      <c r="EK33" s="128"/>
    </row>
    <row r="34" spans="1:141" x14ac:dyDescent="0.4">
      <c r="A34" s="74">
        <f t="shared" si="0"/>
        <v>5</v>
      </c>
      <c r="B34" s="74">
        <v>30</v>
      </c>
      <c r="C34" s="127">
        <f>DATE(Jaartal,April!$B$3,April!$B34)</f>
        <v>43951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6"/>
      <c r="AI34" s="104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6"/>
      <c r="BN34" s="104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6"/>
      <c r="CS34" s="104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5"/>
      <c r="DH34" s="105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6"/>
      <c r="DX34" s="128"/>
      <c r="DY34" s="128"/>
      <c r="DZ34" s="128"/>
      <c r="EA34" s="128"/>
      <c r="EB34" s="128"/>
      <c r="EC34" s="128"/>
      <c r="ED34" s="128"/>
      <c r="EE34" s="128"/>
      <c r="EF34" s="128"/>
      <c r="EG34" s="128"/>
      <c r="EH34" s="128"/>
      <c r="EI34" s="128"/>
      <c r="EJ34" s="128"/>
      <c r="EK34" s="128"/>
    </row>
    <row r="35" spans="1:141" x14ac:dyDescent="0.4">
      <c r="A35" s="74">
        <f t="shared" si="0"/>
        <v>6</v>
      </c>
      <c r="B35" s="74">
        <v>31</v>
      </c>
      <c r="C35" s="127">
        <f>DATE(Jaartal,April!$B$3,April!$B35)</f>
        <v>43952</v>
      </c>
      <c r="D35" s="104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6"/>
      <c r="AI35" s="104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6"/>
      <c r="BN35" s="104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6"/>
      <c r="CS35" s="108"/>
      <c r="CT35" s="105"/>
      <c r="CU35" s="105"/>
      <c r="CV35" s="105"/>
      <c r="CW35" s="105"/>
      <c r="CX35" s="105"/>
      <c r="CY35" s="105"/>
      <c r="CZ35" s="105"/>
      <c r="DA35" s="105"/>
      <c r="DB35" s="105"/>
      <c r="DC35" s="105"/>
      <c r="DD35" s="105"/>
      <c r="DE35" s="105"/>
      <c r="DF35" s="105"/>
      <c r="DG35" s="105"/>
      <c r="DH35" s="105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6"/>
      <c r="DX35" s="128"/>
      <c r="DY35" s="128"/>
      <c r="DZ35" s="128"/>
      <c r="EA35" s="128"/>
      <c r="EB35" s="128"/>
      <c r="EC35" s="128"/>
      <c r="ED35" s="128"/>
      <c r="EE35" s="128"/>
      <c r="EF35" s="128"/>
      <c r="EG35" s="128"/>
      <c r="EH35" s="128"/>
      <c r="EI35" s="128"/>
      <c r="EJ35" s="128"/>
      <c r="EK35" s="128"/>
    </row>
    <row r="36" spans="1:141" x14ac:dyDescent="0.4">
      <c r="BR36" s="128"/>
      <c r="BS36" s="128"/>
      <c r="BT36" s="128"/>
      <c r="BU36" s="128"/>
      <c r="BV36" s="128"/>
      <c r="BY36" s="128"/>
      <c r="BZ36" s="128"/>
      <c r="CB36" s="128"/>
      <c r="CC36" s="128"/>
      <c r="CD36" s="128"/>
      <c r="CE36" s="128"/>
      <c r="CF36" s="128"/>
      <c r="CG36" s="128"/>
      <c r="CH36" s="128"/>
      <c r="CI36" s="128"/>
      <c r="CJ36" s="128"/>
      <c r="CK36" s="128"/>
      <c r="CL36" s="128"/>
      <c r="CM36" s="128"/>
      <c r="CN36" s="128"/>
      <c r="CO36" s="128"/>
      <c r="CP36" s="128"/>
      <c r="CQ36" s="128"/>
      <c r="CW36" s="128"/>
      <c r="CX36" s="128"/>
      <c r="CY36" s="128"/>
      <c r="CZ36" s="128"/>
      <c r="DA36" s="128"/>
      <c r="DD36" s="128"/>
      <c r="DE36" s="128"/>
      <c r="DG36" s="128"/>
      <c r="DH36" s="128"/>
      <c r="DI36" s="128"/>
      <c r="DJ36" s="128"/>
      <c r="DK36" s="128"/>
      <c r="DL36" s="128"/>
      <c r="DM36" s="128"/>
      <c r="DN36" s="128"/>
      <c r="DO36" s="128"/>
      <c r="DP36" s="128"/>
      <c r="DQ36" s="128"/>
      <c r="DR36" s="128"/>
      <c r="DS36" s="128"/>
      <c r="DT36" s="128"/>
      <c r="DU36" s="128"/>
      <c r="DV36" s="128"/>
    </row>
    <row r="38" spans="1:141" ht="13.5" thickBot="1" x14ac:dyDescent="0.45"/>
    <row r="39" spans="1:141" ht="13.5" thickBot="1" x14ac:dyDescent="0.45">
      <c r="D39" s="109" t="s">
        <v>7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1"/>
    </row>
    <row r="40" spans="1:141" ht="13.5" thickBot="1" x14ac:dyDescent="0.45">
      <c r="D40" s="112">
        <v>1</v>
      </c>
      <c r="E40" s="113" t="s">
        <v>4</v>
      </c>
      <c r="F40" s="113"/>
      <c r="G40" s="113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5"/>
    </row>
    <row r="41" spans="1:141" ht="13.5" thickBot="1" x14ac:dyDescent="0.45">
      <c r="D41" s="116">
        <v>2</v>
      </c>
      <c r="E41" s="117" t="s">
        <v>79</v>
      </c>
      <c r="F41" s="117"/>
      <c r="G41" s="117"/>
      <c r="H41" s="117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9"/>
    </row>
    <row r="42" spans="1:141" ht="13.5" thickBot="1" x14ac:dyDescent="0.45">
      <c r="D42" s="120">
        <v>3</v>
      </c>
      <c r="E42" s="117" t="s">
        <v>66</v>
      </c>
      <c r="F42" s="117"/>
      <c r="G42" s="117"/>
      <c r="H42" s="117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9"/>
    </row>
    <row r="43" spans="1:141" ht="13.5" thickBot="1" x14ac:dyDescent="0.45">
      <c r="D43" s="121"/>
      <c r="E43" s="122" t="s">
        <v>80</v>
      </c>
      <c r="F43" s="122"/>
      <c r="G43" s="122"/>
      <c r="H43" s="12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4"/>
    </row>
    <row r="44" spans="1:141" x14ac:dyDescent="0.4">
      <c r="D44" s="129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1"/>
      <c r="AI44" s="131"/>
      <c r="AR44" s="130"/>
      <c r="AS44" s="130"/>
      <c r="AV44" s="130"/>
      <c r="BW44" s="130"/>
      <c r="BX44" s="130"/>
      <c r="CA44" s="130"/>
      <c r="DB44" s="130"/>
      <c r="DC44" s="130"/>
      <c r="DF44" s="130"/>
    </row>
    <row r="52" spans="33:34" x14ac:dyDescent="0.4">
      <c r="AG52" s="128"/>
      <c r="AH52" s="128"/>
    </row>
    <row r="53" spans="33:34" x14ac:dyDescent="0.4">
      <c r="AG53" s="128"/>
      <c r="AH53" s="128"/>
    </row>
    <row r="54" spans="33:34" x14ac:dyDescent="0.4">
      <c r="AG54" s="128"/>
      <c r="AH54" s="128"/>
    </row>
    <row r="55" spans="33:34" x14ac:dyDescent="0.4">
      <c r="AG55" s="128"/>
      <c r="AH55" s="128"/>
    </row>
    <row r="56" spans="33:34" x14ac:dyDescent="0.4">
      <c r="AG56" s="128"/>
      <c r="AH56" s="128"/>
    </row>
  </sheetData>
  <sheetProtection sheet="1" objects="1" scenarios="1" selectLockedCells="1"/>
  <mergeCells count="13">
    <mergeCell ref="D39:AI39"/>
    <mergeCell ref="E40:AI40"/>
    <mergeCell ref="E41:AI41"/>
    <mergeCell ref="E42:AI42"/>
    <mergeCell ref="E43:AI43"/>
    <mergeCell ref="D1:AH1"/>
    <mergeCell ref="AI1:BM1"/>
    <mergeCell ref="BN1:CR1"/>
    <mergeCell ref="CS1:DW1"/>
    <mergeCell ref="AH3:AH4"/>
    <mergeCell ref="BM3:BM4"/>
    <mergeCell ref="CR3:CR4"/>
    <mergeCell ref="DW3:DW4"/>
  </mergeCells>
  <conditionalFormatting sqref="D5:L35 O5:P35 AT5:AU35 BY5:BZ35 DD5:DE35 R5:AQ35 AW5:BV35 CB5:DA35 DG5:DW35">
    <cfRule type="expression" dxfId="355" priority="33" stopIfTrue="1">
      <formula>D5=3</formula>
    </cfRule>
    <cfRule type="expression" dxfId="354" priority="34" stopIfTrue="1">
      <formula>D5=2</formula>
    </cfRule>
    <cfRule type="expression" dxfId="353" priority="35" stopIfTrue="1">
      <formula>D5=1</formula>
    </cfRule>
    <cfRule type="expression" dxfId="352" priority="36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351" priority="29" stopIfTrue="1">
      <formula>M5=3</formula>
    </cfRule>
    <cfRule type="expression" dxfId="350" priority="30" stopIfTrue="1">
      <formula>M5=2</formula>
    </cfRule>
    <cfRule type="expression" dxfId="349" priority="31" stopIfTrue="1">
      <formula>M5=1</formula>
    </cfRule>
    <cfRule type="expression" dxfId="348" priority="32" stopIfTrue="1">
      <formula>IF($A5=1,1,IF($A5=7,1,IF(M$2="Q",IF($A5=2,IF($B5&lt;8,IF(MOD($B$3,3)&lt;&gt;0,1,0),1),1),IF(M$2="M",IF($A5=2,IF($B5&gt;7,1,0),1),IF(M$2="W",IF($A5=2,0,1),0)))))</formula>
    </cfRule>
  </conditionalFormatting>
  <conditionalFormatting sqref="AR5:AS35">
    <cfRule type="expression" dxfId="347" priority="25" stopIfTrue="1">
      <formula>AR5=3</formula>
    </cfRule>
    <cfRule type="expression" dxfId="346" priority="26" stopIfTrue="1">
      <formula>AR5=2</formula>
    </cfRule>
    <cfRule type="expression" dxfId="345" priority="27" stopIfTrue="1">
      <formula>AR5=1</formula>
    </cfRule>
    <cfRule type="expression" dxfId="344" priority="28" stopIfTrue="1">
      <formula>IF($A5=1,1,IF($A5=7,1,IF(AR$2="Q",IF($A5=2,IF($B5&lt;8,IF(MOD($B$3,3)&lt;&gt;0,1,0),1),1),IF(AR$2="M",IF($A5=2,IF($B5&gt;7,1,0),1),IF(AR$2="W",IF($A5=2,0,1),0)))))</formula>
    </cfRule>
  </conditionalFormatting>
  <conditionalFormatting sqref="BW5:BX35">
    <cfRule type="expression" dxfId="343" priority="21" stopIfTrue="1">
      <formula>BW5=3</formula>
    </cfRule>
    <cfRule type="expression" dxfId="342" priority="22" stopIfTrue="1">
      <formula>BW5=2</formula>
    </cfRule>
    <cfRule type="expression" dxfId="341" priority="23" stopIfTrue="1">
      <formula>BW5=1</formula>
    </cfRule>
    <cfRule type="expression" dxfId="340" priority="24" stopIfTrue="1">
      <formula>IF($A5=1,1,IF($A5=7,1,IF(BW$2="Q",IF($A5=2,IF($B5&lt;8,IF(MOD($B$3,3)&lt;&gt;0,1,0),1),1),IF(BW$2="M",IF($A5=2,IF($B5&gt;7,1,0),1),IF(BW$2="W",IF($A5=2,0,1),0)))))</formula>
    </cfRule>
  </conditionalFormatting>
  <conditionalFormatting sqref="DB5:DC35">
    <cfRule type="expression" dxfId="339" priority="17" stopIfTrue="1">
      <formula>DB5=3</formula>
    </cfRule>
    <cfRule type="expression" dxfId="338" priority="18" stopIfTrue="1">
      <formula>DB5=2</formula>
    </cfRule>
    <cfRule type="expression" dxfId="337" priority="19" stopIfTrue="1">
      <formula>DB5=1</formula>
    </cfRule>
    <cfRule type="expression" dxfId="336" priority="20" stopIfTrue="1">
      <formula>IF($A5=1,1,IF($A5=7,1,IF(DB$2="Q",IF($A5=2,IF($B5&lt;8,IF(MOD($B$3,3)&lt;&gt;0,1,0),1),1),IF(DB$2="M",IF($A5=2,IF($B5&gt;7,1,0),1),IF(DB$2="W",IF($A5=2,0,1),0)))))</formula>
    </cfRule>
  </conditionalFormatting>
  <conditionalFormatting sqref="Q5:Q35">
    <cfRule type="expression" dxfId="335" priority="13" stopIfTrue="1">
      <formula>Q5=3</formula>
    </cfRule>
    <cfRule type="expression" dxfId="334" priority="14" stopIfTrue="1">
      <formula>Q5=2</formula>
    </cfRule>
    <cfRule type="expression" dxfId="333" priority="15" stopIfTrue="1">
      <formula>Q5=1</formula>
    </cfRule>
    <cfRule type="expression" dxfId="332" priority="16" stopIfTrue="1">
      <formula>IF($A5=1,1,IF($A5=7,1,IF(Q$2="Q",IF($A5=2,IF($B5&lt;8,IF(MOD($B$3,3)&lt;&gt;0,1,0),1),1),IF(Q$2="M",IF($A5=2,IF($B5&gt;7,1,0),1),IF(Q$2="W",IF($A5=2,0,1),0)))))</formula>
    </cfRule>
  </conditionalFormatting>
  <conditionalFormatting sqref="AV5:AV35">
    <cfRule type="expression" dxfId="331" priority="9" stopIfTrue="1">
      <formula>AV5=3</formula>
    </cfRule>
    <cfRule type="expression" dxfId="330" priority="10" stopIfTrue="1">
      <formula>AV5=2</formula>
    </cfRule>
    <cfRule type="expression" dxfId="329" priority="11" stopIfTrue="1">
      <formula>AV5=1</formula>
    </cfRule>
    <cfRule type="expression" dxfId="328" priority="12" stopIfTrue="1">
      <formula>IF($A5=1,1,IF($A5=7,1,IF(AV$2="Q",IF($A5=2,IF($B5&lt;8,IF(MOD($B$3,3)&lt;&gt;0,1,0),1),1),IF(AV$2="M",IF($A5=2,IF($B5&gt;7,1,0),1),IF(AV$2="W",IF($A5=2,0,1),0)))))</formula>
    </cfRule>
  </conditionalFormatting>
  <conditionalFormatting sqref="CA5:CA35">
    <cfRule type="expression" dxfId="327" priority="5" stopIfTrue="1">
      <formula>CA5=3</formula>
    </cfRule>
    <cfRule type="expression" dxfId="326" priority="6" stopIfTrue="1">
      <formula>CA5=2</formula>
    </cfRule>
    <cfRule type="expression" dxfId="325" priority="7" stopIfTrue="1">
      <formula>CA5=1</formula>
    </cfRule>
    <cfRule type="expression" dxfId="324" priority="8" stopIfTrue="1">
      <formula>IF($A5=1,1,IF($A5=7,1,IF(CA$2="Q",IF($A5=2,IF($B5&lt;8,IF(MOD($B$3,3)&lt;&gt;0,1,0),1),1),IF(CA$2="M",IF($A5=2,IF($B5&gt;7,1,0),1),IF(CA$2="W",IF($A5=2,0,1),0)))))</formula>
    </cfRule>
  </conditionalFormatting>
  <conditionalFormatting sqref="DF5:DF35">
    <cfRule type="expression" dxfId="323" priority="1" stopIfTrue="1">
      <formula>DF5=3</formula>
    </cfRule>
    <cfRule type="expression" dxfId="322" priority="2" stopIfTrue="1">
      <formula>DF5=2</formula>
    </cfRule>
    <cfRule type="expression" dxfId="321" priority="3" stopIfTrue="1">
      <formula>DF5=1</formula>
    </cfRule>
    <cfRule type="expression" dxfId="320" priority="4" stopIfTrue="1">
      <formula>IF($A5=1,1,IF($A5=7,1,IF(DF$2="Q",IF($A5=2,IF($B5&lt;8,IF(MOD($B$3,3)&lt;&gt;0,1,0),1),1),IF(DF$2="M",IF($A5=2,IF($B5&gt;7,1,0),1),IF(DF$2="W",IF($A5=2,0,1),0)))))</formula>
    </cfRule>
  </conditionalFormatting>
  <dataValidations count="4">
    <dataValidation type="list" allowBlank="1" showInputMessage="1" showErrorMessage="1" sqref="DB2:DC2 AR2:AS2 BW2:BX2 D2:AG2 AV2 CA2 DF2" xr:uid="{03A5E95C-EC76-487A-B044-2057BE8D3280}">
      <formula1>"D,W,M,Q"</formula1>
    </dataValidation>
    <dataValidation type="list" allowBlank="1" showInputMessage="1" showErrorMessage="1" sqref="DW5:DW35 CR5:CR35 BM5:BM35 AH5:AH35" xr:uid="{3A9BFEF0-3F49-4E3A-816D-8ACAE9B2A637}">
      <formula1>List_Personen</formula1>
    </dataValidation>
    <dataValidation type="list" allowBlank="1" showInputMessage="1" showErrorMessage="1" sqref="C3" xr:uid="{D73AB68C-EA61-4C46-B3A0-4289F794F5C2}">
      <formula1>List_Maanden</formula1>
    </dataValidation>
    <dataValidation type="list" allowBlank="1" showInputMessage="1" showErrorMessage="1" sqref="BN5:CQ35 D5:AG35 AI5:BL35 CS5:DV35" xr:uid="{31267F74-B0AD-480E-B917-26CF90177A67}">
      <formula1>Status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43BF7-5600-410B-BCF3-EF9921977F1F}">
  <sheetPr codeName="Sheet7"/>
  <dimension ref="A1:EK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3.15" x14ac:dyDescent="0.4"/>
  <cols>
    <col min="1" max="1" width="8.796875" style="74" hidden="1" customWidth="1"/>
    <col min="2" max="2" width="4.265625" style="74" hidden="1" customWidth="1"/>
    <col min="3" max="3" width="25.73046875" style="74" bestFit="1" customWidth="1"/>
    <col min="4" max="5" width="3.19921875" style="74" bestFit="1" customWidth="1"/>
    <col min="6" max="8" width="3.19921875" style="74" customWidth="1"/>
    <col min="9" max="10" width="3.19921875" style="74" bestFit="1" customWidth="1"/>
    <col min="11" max="18" width="3.19921875" style="74" customWidth="1"/>
    <col min="19" max="19" width="3.19921875" style="74" bestFit="1" customWidth="1"/>
    <col min="20" max="24" width="3.19921875" style="74" customWidth="1"/>
    <col min="25" max="25" width="3.19921875" style="74" bestFit="1" customWidth="1"/>
    <col min="26" max="32" width="3.19921875" style="74" customWidth="1"/>
    <col min="33" max="33" width="2.73046875" style="74" bestFit="1" customWidth="1"/>
    <col min="34" max="34" width="14" style="74" bestFit="1" customWidth="1"/>
    <col min="35" max="39" width="3.19921875" style="74" bestFit="1" customWidth="1"/>
    <col min="40" max="46" width="3.19921875" style="74" customWidth="1"/>
    <col min="47" max="47" width="3.19921875" style="74" bestFit="1" customWidth="1"/>
    <col min="48" max="48" width="3.19921875" style="74" customWidth="1"/>
    <col min="49" max="49" width="3.19921875" style="74" bestFit="1" customWidth="1"/>
    <col min="50" max="50" width="2.73046875" style="74" bestFit="1" customWidth="1"/>
    <col min="51" max="64" width="2.73046875" style="74" customWidth="1"/>
    <col min="65" max="65" width="14" style="74" bestFit="1" customWidth="1"/>
    <col min="66" max="70" width="3.19921875" style="74" bestFit="1" customWidth="1"/>
    <col min="71" max="77" width="3.19921875" style="74" customWidth="1"/>
    <col min="78" max="78" width="3.19921875" style="74" bestFit="1" customWidth="1"/>
    <col min="79" max="79" width="3.19921875" style="74" customWidth="1"/>
    <col min="80" max="80" width="3.19921875" style="74" bestFit="1" customWidth="1"/>
    <col min="81" max="81" width="2.73046875" style="74" bestFit="1" customWidth="1"/>
    <col min="82" max="95" width="2.73046875" style="74" customWidth="1"/>
    <col min="96" max="96" width="14" style="74" bestFit="1" customWidth="1"/>
    <col min="97" max="102" width="3.19921875" style="74" bestFit="1" customWidth="1"/>
    <col min="103" max="110" width="3.19921875" style="74" customWidth="1"/>
    <col min="111" max="111" width="3.19921875" style="74" bestFit="1" customWidth="1"/>
    <col min="112" max="112" width="2.73046875" style="74" bestFit="1" customWidth="1"/>
    <col min="113" max="126" width="2.73046875" style="74" customWidth="1"/>
    <col min="127" max="127" width="14" style="74" bestFit="1" customWidth="1"/>
    <col min="128" max="128" width="6" style="74" customWidth="1"/>
    <col min="129" max="16384" width="9.06640625" style="74"/>
  </cols>
  <sheetData>
    <row r="1" spans="1:141" ht="18.399999999999999" thickBot="1" x14ac:dyDescent="0.6">
      <c r="C1" s="75" t="s">
        <v>5</v>
      </c>
      <c r="D1" s="76" t="s">
        <v>44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8"/>
      <c r="AI1" s="79" t="s">
        <v>45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1"/>
      <c r="BN1" s="82" t="s">
        <v>46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4"/>
      <c r="CS1" s="85" t="s">
        <v>47</v>
      </c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7"/>
    </row>
    <row r="2" spans="1:141" ht="13.5" thickBot="1" x14ac:dyDescent="0.45">
      <c r="A2" s="74" t="s">
        <v>13</v>
      </c>
      <c r="B2" s="74" t="s">
        <v>14</v>
      </c>
      <c r="C2" s="88" t="s">
        <v>3</v>
      </c>
      <c r="D2" s="89" t="str">
        <f>+Template!D2</f>
        <v>D</v>
      </c>
      <c r="E2" s="90" t="str">
        <f>+Template!E2</f>
        <v>D</v>
      </c>
      <c r="F2" s="90" t="str">
        <f>+Template!F2</f>
        <v>D</v>
      </c>
      <c r="G2" s="90" t="str">
        <f>+Template!G2</f>
        <v>D</v>
      </c>
      <c r="H2" s="90" t="str">
        <f>+Template!H2</f>
        <v>D</v>
      </c>
      <c r="I2" s="91" t="str">
        <f>+Template!I2</f>
        <v>D</v>
      </c>
      <c r="J2" s="91" t="str">
        <f>+Template!J2</f>
        <v>D</v>
      </c>
      <c r="K2" s="91" t="str">
        <f>+Template!K2</f>
        <v>D</v>
      </c>
      <c r="L2" s="91" t="str">
        <f>+Template!L2</f>
        <v>D</v>
      </c>
      <c r="M2" s="91" t="s">
        <v>2</v>
      </c>
      <c r="N2" s="91" t="s">
        <v>2</v>
      </c>
      <c r="O2" s="91" t="str">
        <f>+Template!O2</f>
        <v>D</v>
      </c>
      <c r="P2" s="91" t="str">
        <f>+Template!P2</f>
        <v>D</v>
      </c>
      <c r="Q2" s="91" t="s">
        <v>2</v>
      </c>
      <c r="R2" s="91" t="str">
        <f>+Template!R2</f>
        <v>D</v>
      </c>
      <c r="S2" s="91" t="str">
        <f>+Template!S2</f>
        <v>D</v>
      </c>
      <c r="T2" s="91" t="str">
        <f>+Template!T2</f>
        <v>D</v>
      </c>
      <c r="U2" s="91" t="str">
        <f>+Template!U2</f>
        <v>D</v>
      </c>
      <c r="V2" s="91" t="str">
        <f>+Template!V2</f>
        <v>D</v>
      </c>
      <c r="W2" s="91" t="str">
        <f>+Template!W2</f>
        <v>D</v>
      </c>
      <c r="X2" s="91" t="str">
        <f>+Template!X2</f>
        <v>W</v>
      </c>
      <c r="Y2" s="91" t="str">
        <f>+Template!Y2</f>
        <v>W</v>
      </c>
      <c r="Z2" s="91" t="str">
        <f>+Template!Z2</f>
        <v>W</v>
      </c>
      <c r="AA2" s="91" t="str">
        <f>+Template!AA2</f>
        <v>W</v>
      </c>
      <c r="AB2" s="91" t="str">
        <f>+Template!AB2</f>
        <v>M</v>
      </c>
      <c r="AC2" s="91" t="str">
        <f>+Template!AC2</f>
        <v>M</v>
      </c>
      <c r="AD2" s="91" t="str">
        <f>+Template!AD2</f>
        <v>M</v>
      </c>
      <c r="AE2" s="91" t="str">
        <f>+Template!AE2</f>
        <v>M</v>
      </c>
      <c r="AF2" s="91" t="str">
        <f>+Template!AF2</f>
        <v>Q</v>
      </c>
      <c r="AG2" s="91" t="str">
        <f>+Template!AG2</f>
        <v>Q</v>
      </c>
      <c r="AH2" s="92"/>
      <c r="AI2" s="89" t="str">
        <f>+Template!D2</f>
        <v>D</v>
      </c>
      <c r="AJ2" s="90" t="str">
        <f>+Template!E2</f>
        <v>D</v>
      </c>
      <c r="AK2" s="90" t="str">
        <f>+Template!F2</f>
        <v>D</v>
      </c>
      <c r="AL2" s="90" t="str">
        <f>+Template!G2</f>
        <v>D</v>
      </c>
      <c r="AM2" s="90" t="str">
        <f>+Template!H2</f>
        <v>D</v>
      </c>
      <c r="AN2" s="90" t="str">
        <f>+Template!I2</f>
        <v>D</v>
      </c>
      <c r="AO2" s="90" t="str">
        <f>+Template!J2</f>
        <v>D</v>
      </c>
      <c r="AP2" s="90" t="str">
        <f>+Template!K2</f>
        <v>D</v>
      </c>
      <c r="AQ2" s="90" t="str">
        <f>+Template!L2</f>
        <v>D</v>
      </c>
      <c r="AR2" s="91" t="s">
        <v>2</v>
      </c>
      <c r="AS2" s="91" t="s">
        <v>2</v>
      </c>
      <c r="AT2" s="90" t="str">
        <f>+Template!O2</f>
        <v>D</v>
      </c>
      <c r="AU2" s="91" t="str">
        <f>+Template!P2</f>
        <v>D</v>
      </c>
      <c r="AV2" s="91" t="s">
        <v>2</v>
      </c>
      <c r="AW2" s="91" t="str">
        <f>+Template!R2</f>
        <v>D</v>
      </c>
      <c r="AX2" s="91" t="str">
        <f>+Template!S2</f>
        <v>D</v>
      </c>
      <c r="AY2" s="91" t="str">
        <f>+Template!T2</f>
        <v>D</v>
      </c>
      <c r="AZ2" s="91" t="str">
        <f>+Template!U2</f>
        <v>D</v>
      </c>
      <c r="BA2" s="91" t="str">
        <f>+Template!V2</f>
        <v>D</v>
      </c>
      <c r="BB2" s="91" t="str">
        <f>+Template!W2</f>
        <v>D</v>
      </c>
      <c r="BC2" s="91" t="str">
        <f>+Template!X2</f>
        <v>W</v>
      </c>
      <c r="BD2" s="91" t="str">
        <f>+Template!Y2</f>
        <v>W</v>
      </c>
      <c r="BE2" s="91" t="str">
        <f>+Template!Z2</f>
        <v>W</v>
      </c>
      <c r="BF2" s="91" t="str">
        <f>+Template!AA2</f>
        <v>W</v>
      </c>
      <c r="BG2" s="91" t="str">
        <f>+Template!AB2</f>
        <v>M</v>
      </c>
      <c r="BH2" s="91" t="str">
        <f>+Template!AC2</f>
        <v>M</v>
      </c>
      <c r="BI2" s="91" t="str">
        <f>+Template!AD2</f>
        <v>M</v>
      </c>
      <c r="BJ2" s="91" t="str">
        <f>+Template!AE2</f>
        <v>M</v>
      </c>
      <c r="BK2" s="91" t="str">
        <f>+Template!AF2</f>
        <v>Q</v>
      </c>
      <c r="BL2" s="91" t="str">
        <f>+Template!AG2</f>
        <v>Q</v>
      </c>
      <c r="BM2" s="92"/>
      <c r="BN2" s="89" t="str">
        <f>+Template!D2</f>
        <v>D</v>
      </c>
      <c r="BO2" s="90" t="str">
        <f>+Template!E2</f>
        <v>D</v>
      </c>
      <c r="BP2" s="90" t="str">
        <f>+Template!F2</f>
        <v>D</v>
      </c>
      <c r="BQ2" s="90" t="str">
        <f>+Template!G2</f>
        <v>D</v>
      </c>
      <c r="BR2" s="90" t="str">
        <f>+Template!H2</f>
        <v>D</v>
      </c>
      <c r="BS2" s="90" t="str">
        <f>+Template!I2</f>
        <v>D</v>
      </c>
      <c r="BT2" s="90" t="str">
        <f>+Template!J2</f>
        <v>D</v>
      </c>
      <c r="BU2" s="90" t="str">
        <f>+Template!K2</f>
        <v>D</v>
      </c>
      <c r="BV2" s="90" t="str">
        <f>+Template!L2</f>
        <v>D</v>
      </c>
      <c r="BW2" s="91" t="s">
        <v>2</v>
      </c>
      <c r="BX2" s="91" t="s">
        <v>2</v>
      </c>
      <c r="BY2" s="90" t="str">
        <f>+Template!O2</f>
        <v>D</v>
      </c>
      <c r="BZ2" s="91" t="str">
        <f>+Template!P2</f>
        <v>D</v>
      </c>
      <c r="CA2" s="91" t="s">
        <v>2</v>
      </c>
      <c r="CB2" s="91" t="str">
        <f>+Template!R2</f>
        <v>D</v>
      </c>
      <c r="CC2" s="91" t="str">
        <f>+Template!S2</f>
        <v>D</v>
      </c>
      <c r="CD2" s="91" t="str">
        <f>+Template!T2</f>
        <v>D</v>
      </c>
      <c r="CE2" s="91" t="str">
        <f>+Template!U2</f>
        <v>D</v>
      </c>
      <c r="CF2" s="91" t="str">
        <f>+Template!V2</f>
        <v>D</v>
      </c>
      <c r="CG2" s="91" t="str">
        <f>+Template!W2</f>
        <v>D</v>
      </c>
      <c r="CH2" s="91" t="str">
        <f>+Template!X2</f>
        <v>W</v>
      </c>
      <c r="CI2" s="91" t="str">
        <f>+Template!Y2</f>
        <v>W</v>
      </c>
      <c r="CJ2" s="91" t="str">
        <f>+Template!Z2</f>
        <v>W</v>
      </c>
      <c r="CK2" s="91" t="str">
        <f>+Template!AA2</f>
        <v>W</v>
      </c>
      <c r="CL2" s="91" t="str">
        <f>+Template!AB2</f>
        <v>M</v>
      </c>
      <c r="CM2" s="91" t="str">
        <f>+Template!AC2</f>
        <v>M</v>
      </c>
      <c r="CN2" s="91" t="str">
        <f>+Template!AD2</f>
        <v>M</v>
      </c>
      <c r="CO2" s="91" t="str">
        <f>+Template!AE2</f>
        <v>M</v>
      </c>
      <c r="CP2" s="91" t="str">
        <f>+Template!AF2</f>
        <v>Q</v>
      </c>
      <c r="CQ2" s="91" t="str">
        <f>+Template!AG2</f>
        <v>Q</v>
      </c>
      <c r="CR2" s="92"/>
      <c r="CS2" s="89" t="str">
        <f>+Template!D2</f>
        <v>D</v>
      </c>
      <c r="CT2" s="90" t="str">
        <f>+Template!E2</f>
        <v>D</v>
      </c>
      <c r="CU2" s="90" t="str">
        <f>+Template!F2</f>
        <v>D</v>
      </c>
      <c r="CV2" s="90" t="str">
        <f>+Template!G2</f>
        <v>D</v>
      </c>
      <c r="CW2" s="90" t="str">
        <f>+Template!H2</f>
        <v>D</v>
      </c>
      <c r="CX2" s="91" t="str">
        <f>+Template!I2</f>
        <v>D</v>
      </c>
      <c r="CY2" s="91" t="str">
        <f>+Template!J2</f>
        <v>D</v>
      </c>
      <c r="CZ2" s="91" t="str">
        <f>+Template!K2</f>
        <v>D</v>
      </c>
      <c r="DA2" s="91" t="str">
        <f>+Template!L2</f>
        <v>D</v>
      </c>
      <c r="DB2" s="91" t="s">
        <v>2</v>
      </c>
      <c r="DC2" s="91" t="s">
        <v>2</v>
      </c>
      <c r="DD2" s="91" t="str">
        <f>+Template!O2</f>
        <v>D</v>
      </c>
      <c r="DE2" s="91" t="str">
        <f>+Template!P2</f>
        <v>D</v>
      </c>
      <c r="DF2" s="91" t="s">
        <v>2</v>
      </c>
      <c r="DG2" s="91" t="str">
        <f>+Template!R2</f>
        <v>D</v>
      </c>
      <c r="DH2" s="91" t="str">
        <f>+Template!S2</f>
        <v>D</v>
      </c>
      <c r="DI2" s="91" t="str">
        <f>+Template!T2</f>
        <v>D</v>
      </c>
      <c r="DJ2" s="91" t="str">
        <f>+Template!U2</f>
        <v>D</v>
      </c>
      <c r="DK2" s="91" t="str">
        <f>+Template!V2</f>
        <v>D</v>
      </c>
      <c r="DL2" s="91" t="str">
        <f>+Template!W2</f>
        <v>D</v>
      </c>
      <c r="DM2" s="91" t="str">
        <f>+Template!X2</f>
        <v>W</v>
      </c>
      <c r="DN2" s="91" t="str">
        <f>+Template!Y2</f>
        <v>W</v>
      </c>
      <c r="DO2" s="91" t="str">
        <f>+Template!Z2</f>
        <v>W</v>
      </c>
      <c r="DP2" s="91" t="str">
        <f>+Template!AA2</f>
        <v>W</v>
      </c>
      <c r="DQ2" s="91" t="str">
        <f>+Template!AB2</f>
        <v>M</v>
      </c>
      <c r="DR2" s="91" t="str">
        <f>+Template!AC2</f>
        <v>M</v>
      </c>
      <c r="DS2" s="91" t="str">
        <f>+Template!AD2</f>
        <v>M</v>
      </c>
      <c r="DT2" s="91" t="str">
        <f>+Template!AE2</f>
        <v>M</v>
      </c>
      <c r="DU2" s="91" t="str">
        <f>+Template!AF2</f>
        <v>Q</v>
      </c>
      <c r="DV2" s="91" t="str">
        <f>+Template!AG2</f>
        <v>Q</v>
      </c>
      <c r="DW2" s="92"/>
    </row>
    <row r="3" spans="1:141" ht="150" x14ac:dyDescent="0.4">
      <c r="B3" s="74">
        <f>VLOOKUP(C3,Data!E2:F13,2,FALSE)</f>
        <v>5</v>
      </c>
      <c r="C3" s="93" t="s">
        <v>60</v>
      </c>
      <c r="D3" s="94" t="str">
        <f>+Template!D3</f>
        <v>Quick environment check</v>
      </c>
      <c r="E3" s="95" t="str">
        <f>+Template!E3</f>
        <v>Health Analyzer Issues</v>
      </c>
      <c r="F3" s="95" t="str">
        <f>+Template!F3</f>
        <v>Content Database Status</v>
      </c>
      <c r="G3" s="95" t="str">
        <f>+Template!G3</f>
        <v>Upgrade Status Servers</v>
      </c>
      <c r="H3" s="95" t="str">
        <f>+Template!H3</f>
        <v>Upgrade Status Databases</v>
      </c>
      <c r="I3" s="95" t="str">
        <f>+Template!I3</f>
        <v>Failed Timer Jobs</v>
      </c>
      <c r="J3" s="95" t="str">
        <f>+Template!J3</f>
        <v>Deployment Status Solutions</v>
      </c>
      <c r="K3" s="95" t="str">
        <f>+Template!K3</f>
        <v>Content Database Size</v>
      </c>
      <c r="L3" s="95" t="str">
        <f>+Template!L3</f>
        <v>Service Application Status</v>
      </c>
      <c r="M3" s="95" t="s">
        <v>98</v>
      </c>
      <c r="N3" s="95" t="s">
        <v>99</v>
      </c>
      <c r="O3" s="95" t="str">
        <f>+Template!O3</f>
        <v>Search Topology</v>
      </c>
      <c r="P3" s="95" t="str">
        <f>+Template!P3</f>
        <v>Search Gatherer Logs</v>
      </c>
      <c r="Q3" s="95" t="s">
        <v>100</v>
      </c>
      <c r="R3" s="95" t="str">
        <f>+Template!R3</f>
        <v>Last Boot Time</v>
      </c>
      <c r="S3" s="95" t="str">
        <f>+Template!S3</f>
        <v>Running Services Check</v>
      </c>
      <c r="T3" s="95" t="str">
        <f>+Template!T3</f>
        <v>Scheduled Tasks</v>
      </c>
      <c r="U3" s="95" t="str">
        <f>+Template!U3</f>
        <v>Running websites en application pools</v>
      </c>
      <c r="V3" s="95" t="str">
        <f>+Template!V3</f>
        <v>Group Membership Check</v>
      </c>
      <c r="W3" s="95" t="str">
        <f>+Template!W3</f>
        <v>Backup Status</v>
      </c>
      <c r="X3" s="95" t="str">
        <f>+Template!X3</f>
        <v>Permissions Check</v>
      </c>
      <c r="Y3" s="95" t="str">
        <f>+Template!Y3</f>
        <v>New Updates</v>
      </c>
      <c r="Z3" s="95" t="str">
        <f>+Template!Z3</f>
        <v>Baseline Settings</v>
      </c>
      <c r="AA3" s="95" t="str">
        <f>+Template!AA3</f>
        <v>Access Check</v>
      </c>
      <c r="AB3" s="95" t="str">
        <f>+Template!AB3</f>
        <v>Missing Security Updates/Service Packs</v>
      </c>
      <c r="AC3" s="95" t="str">
        <f>+Template!AC3</f>
        <v>Policy Compliance</v>
      </c>
      <c r="AD3" s="95" t="str">
        <f>+Template!AD3</f>
        <v>Documentation Check</v>
      </c>
      <c r="AE3" s="95" t="str">
        <f>+Template!AE3</f>
        <v>SSL Certificates Check</v>
      </c>
      <c r="AF3" s="95" t="str">
        <f>+Template!AF3</f>
        <v>Disaster Recovery Test</v>
      </c>
      <c r="AG3" s="95" t="str">
        <f>+Template!AG3</f>
        <v>Lifecycle Check</v>
      </c>
      <c r="AH3" s="96" t="str">
        <f>+Template!AH3</f>
        <v>Performed by:</v>
      </c>
      <c r="AI3" s="94" t="str">
        <f>+Template!D3</f>
        <v>Quick environment check</v>
      </c>
      <c r="AJ3" s="95" t="str">
        <f>+Template!E3</f>
        <v>Health Analyzer Issues</v>
      </c>
      <c r="AK3" s="95" t="str">
        <f>+Template!F3</f>
        <v>Content Database Status</v>
      </c>
      <c r="AL3" s="95" t="str">
        <f>+Template!G3</f>
        <v>Upgrade Status Servers</v>
      </c>
      <c r="AM3" s="95" t="str">
        <f>+Template!H3</f>
        <v>Upgrade Status Databases</v>
      </c>
      <c r="AN3" s="95" t="str">
        <f>+Template!I3</f>
        <v>Failed Timer Jobs</v>
      </c>
      <c r="AO3" s="95" t="str">
        <f>+Template!J3</f>
        <v>Deployment Status Solutions</v>
      </c>
      <c r="AP3" s="95" t="str">
        <f>+Template!K3</f>
        <v>Content Database Size</v>
      </c>
      <c r="AQ3" s="95" t="str">
        <f>+Template!L3</f>
        <v>Service Application Status</v>
      </c>
      <c r="AR3" s="95" t="s">
        <v>98</v>
      </c>
      <c r="AS3" s="95" t="s">
        <v>99</v>
      </c>
      <c r="AT3" s="95" t="str">
        <f>+Template!O3</f>
        <v>Search Topology</v>
      </c>
      <c r="AU3" s="95" t="str">
        <f>+Template!P3</f>
        <v>Search Gatherer Logs</v>
      </c>
      <c r="AV3" s="95" t="s">
        <v>100</v>
      </c>
      <c r="AW3" s="95" t="str">
        <f>+Template!R3</f>
        <v>Last Boot Time</v>
      </c>
      <c r="AX3" s="95" t="str">
        <f>+Template!S3</f>
        <v>Running Services Check</v>
      </c>
      <c r="AY3" s="95" t="str">
        <f>+Template!T3</f>
        <v>Scheduled Tasks</v>
      </c>
      <c r="AZ3" s="95" t="str">
        <f>+Template!U3</f>
        <v>Running websites en application pools</v>
      </c>
      <c r="BA3" s="95" t="str">
        <f>+Template!V3</f>
        <v>Group Membership Check</v>
      </c>
      <c r="BB3" s="95" t="str">
        <f>+Template!W3</f>
        <v>Backup Status</v>
      </c>
      <c r="BC3" s="95" t="str">
        <f>+Template!X3</f>
        <v>Permissions Check</v>
      </c>
      <c r="BD3" s="95" t="str">
        <f>+Template!Y3</f>
        <v>New Updates</v>
      </c>
      <c r="BE3" s="95" t="str">
        <f>+Template!Z3</f>
        <v>Baseline Settings</v>
      </c>
      <c r="BF3" s="95" t="str">
        <f>+Template!AA3</f>
        <v>Access Check</v>
      </c>
      <c r="BG3" s="95" t="str">
        <f>+Template!AB3</f>
        <v>Missing Security Updates/Service Packs</v>
      </c>
      <c r="BH3" s="95" t="str">
        <f>+Template!AC3</f>
        <v>Policy Compliance</v>
      </c>
      <c r="BI3" s="95" t="str">
        <f>+Template!AD3</f>
        <v>Documentation Check</v>
      </c>
      <c r="BJ3" s="95" t="str">
        <f>+Template!AE3</f>
        <v>SSL Certificates Check</v>
      </c>
      <c r="BK3" s="95" t="str">
        <f>+Template!AF3</f>
        <v>Disaster Recovery Test</v>
      </c>
      <c r="BL3" s="95" t="str">
        <f>+Template!AG3</f>
        <v>Lifecycle Check</v>
      </c>
      <c r="BM3" s="96" t="str">
        <f>+Template!AH3</f>
        <v>Performed by:</v>
      </c>
      <c r="BN3" s="94" t="str">
        <f>+Template!D3</f>
        <v>Quick environment check</v>
      </c>
      <c r="BO3" s="95" t="str">
        <f>+Template!E3</f>
        <v>Health Analyzer Issues</v>
      </c>
      <c r="BP3" s="95" t="str">
        <f>+Template!F3</f>
        <v>Content Database Status</v>
      </c>
      <c r="BQ3" s="95" t="str">
        <f>+Template!G3</f>
        <v>Upgrade Status Servers</v>
      </c>
      <c r="BR3" s="95" t="str">
        <f>+Template!H3</f>
        <v>Upgrade Status Databases</v>
      </c>
      <c r="BS3" s="95" t="str">
        <f>+Template!I3</f>
        <v>Failed Timer Jobs</v>
      </c>
      <c r="BT3" s="95" t="str">
        <f>+Template!J3</f>
        <v>Deployment Status Solutions</v>
      </c>
      <c r="BU3" s="95" t="str">
        <f>+Template!K3</f>
        <v>Content Database Size</v>
      </c>
      <c r="BV3" s="95" t="str">
        <f>+Template!L3</f>
        <v>Service Application Status</v>
      </c>
      <c r="BW3" s="95" t="s">
        <v>98</v>
      </c>
      <c r="BX3" s="95" t="s">
        <v>99</v>
      </c>
      <c r="BY3" s="95" t="str">
        <f>+Template!O3</f>
        <v>Search Topology</v>
      </c>
      <c r="BZ3" s="95" t="str">
        <f>+Template!P3</f>
        <v>Search Gatherer Logs</v>
      </c>
      <c r="CA3" s="95" t="s">
        <v>100</v>
      </c>
      <c r="CB3" s="95" t="str">
        <f>+Template!R3</f>
        <v>Last Boot Time</v>
      </c>
      <c r="CC3" s="95" t="str">
        <f>+Template!S3</f>
        <v>Running Services Check</v>
      </c>
      <c r="CD3" s="95" t="str">
        <f>+Template!T3</f>
        <v>Scheduled Tasks</v>
      </c>
      <c r="CE3" s="95" t="str">
        <f>+Template!U3</f>
        <v>Running websites en application pools</v>
      </c>
      <c r="CF3" s="95" t="str">
        <f>+Template!V3</f>
        <v>Group Membership Check</v>
      </c>
      <c r="CG3" s="95" t="str">
        <f>+Template!W3</f>
        <v>Backup Status</v>
      </c>
      <c r="CH3" s="95" t="str">
        <f>+Template!X3</f>
        <v>Permissions Check</v>
      </c>
      <c r="CI3" s="95" t="str">
        <f>+Template!Y3</f>
        <v>New Updates</v>
      </c>
      <c r="CJ3" s="95" t="str">
        <f>+Template!Z3</f>
        <v>Baseline Settings</v>
      </c>
      <c r="CK3" s="95" t="str">
        <f>+Template!AA3</f>
        <v>Access Check</v>
      </c>
      <c r="CL3" s="95" t="str">
        <f>+Template!AB3</f>
        <v>Missing Security Updates/Service Packs</v>
      </c>
      <c r="CM3" s="95" t="str">
        <f>+Template!AC3</f>
        <v>Policy Compliance</v>
      </c>
      <c r="CN3" s="95" t="str">
        <f>+Template!AD3</f>
        <v>Documentation Check</v>
      </c>
      <c r="CO3" s="95" t="str">
        <f>+Template!AE3</f>
        <v>SSL Certificates Check</v>
      </c>
      <c r="CP3" s="95" t="str">
        <f>+Template!AF3</f>
        <v>Disaster Recovery Test</v>
      </c>
      <c r="CQ3" s="95" t="str">
        <f>+Template!AG3</f>
        <v>Lifecycle Check</v>
      </c>
      <c r="CR3" s="96" t="str">
        <f>+Template!AH3</f>
        <v>Performed by:</v>
      </c>
      <c r="CS3" s="94" t="str">
        <f>+Template!D3</f>
        <v>Quick environment check</v>
      </c>
      <c r="CT3" s="95" t="str">
        <f>+Template!E3</f>
        <v>Health Analyzer Issues</v>
      </c>
      <c r="CU3" s="95" t="str">
        <f>+Template!F3</f>
        <v>Content Database Status</v>
      </c>
      <c r="CV3" s="95" t="str">
        <f>+Template!G3</f>
        <v>Upgrade Status Servers</v>
      </c>
      <c r="CW3" s="95" t="str">
        <f>+Template!H3</f>
        <v>Upgrade Status Databases</v>
      </c>
      <c r="CX3" s="95" t="str">
        <f>+Template!I3</f>
        <v>Failed Timer Jobs</v>
      </c>
      <c r="CY3" s="95" t="str">
        <f>+Template!J3</f>
        <v>Deployment Status Solutions</v>
      </c>
      <c r="CZ3" s="95" t="str">
        <f>+Template!K3</f>
        <v>Content Database Size</v>
      </c>
      <c r="DA3" s="95" t="str">
        <f>+Template!L3</f>
        <v>Service Application Status</v>
      </c>
      <c r="DB3" s="95" t="s">
        <v>98</v>
      </c>
      <c r="DC3" s="95" t="s">
        <v>99</v>
      </c>
      <c r="DD3" s="95" t="str">
        <f>+Template!O3</f>
        <v>Search Topology</v>
      </c>
      <c r="DE3" s="95" t="str">
        <f>+Template!P3</f>
        <v>Search Gatherer Logs</v>
      </c>
      <c r="DF3" s="95" t="s">
        <v>100</v>
      </c>
      <c r="DG3" s="95" t="str">
        <f>+Template!R3</f>
        <v>Last Boot Time</v>
      </c>
      <c r="DH3" s="95" t="str">
        <f>+Template!S3</f>
        <v>Running Services Check</v>
      </c>
      <c r="DI3" s="95" t="str">
        <f>+Template!T3</f>
        <v>Scheduled Tasks</v>
      </c>
      <c r="DJ3" s="95" t="str">
        <f>+Template!U3</f>
        <v>Running websites en application pools</v>
      </c>
      <c r="DK3" s="95" t="str">
        <f>+Template!V3</f>
        <v>Group Membership Check</v>
      </c>
      <c r="DL3" s="95" t="str">
        <f>+Template!W3</f>
        <v>Backup Status</v>
      </c>
      <c r="DM3" s="95" t="str">
        <f>+Template!X3</f>
        <v>Permissions Check</v>
      </c>
      <c r="DN3" s="95" t="str">
        <f>+Template!Y3</f>
        <v>New Updates</v>
      </c>
      <c r="DO3" s="95" t="str">
        <f>+Template!Z3</f>
        <v>Baseline Settings</v>
      </c>
      <c r="DP3" s="95" t="str">
        <f>+Template!AA3</f>
        <v>Access Check</v>
      </c>
      <c r="DQ3" s="95" t="str">
        <f>+Template!AB3</f>
        <v>Missing Security Updates/Service Packs</v>
      </c>
      <c r="DR3" s="95" t="str">
        <f>+Template!AC3</f>
        <v>Policy Compliance</v>
      </c>
      <c r="DS3" s="95" t="str">
        <f>+Template!AD3</f>
        <v>Documentation Check</v>
      </c>
      <c r="DT3" s="95" t="str">
        <f>+Template!AE3</f>
        <v>SSL Certificates Check</v>
      </c>
      <c r="DU3" s="95" t="str">
        <f>+Template!AF3</f>
        <v>Disaster Recovery Test</v>
      </c>
      <c r="DV3" s="95" t="str">
        <f>+Template!AG3</f>
        <v>Lifecycle Check</v>
      </c>
      <c r="DW3" s="96" t="str">
        <f>+Template!AH3</f>
        <v>Performed by:</v>
      </c>
      <c r="DX3" s="125"/>
      <c r="DY3" s="126"/>
      <c r="DZ3" s="126"/>
      <c r="EA3" s="126"/>
    </row>
    <row r="4" spans="1:141" ht="23.25" customHeight="1" thickBot="1" x14ac:dyDescent="0.45">
      <c r="C4" s="97">
        <f>Jaartal</f>
        <v>2020</v>
      </c>
      <c r="D4" s="94">
        <f>+Template!D4</f>
        <v>1</v>
      </c>
      <c r="E4" s="95">
        <f>+Template!E4</f>
        <v>10</v>
      </c>
      <c r="F4" s="95">
        <f>+Template!F4</f>
        <v>11</v>
      </c>
      <c r="G4" s="95">
        <f>+Template!G4</f>
        <v>12</v>
      </c>
      <c r="H4" s="95">
        <f>+Template!H4</f>
        <v>13</v>
      </c>
      <c r="I4" s="95">
        <f>+Template!I4</f>
        <v>14</v>
      </c>
      <c r="J4" s="95">
        <f>+Template!J4</f>
        <v>15</v>
      </c>
      <c r="K4" s="95">
        <f>+Template!K4</f>
        <v>16</v>
      </c>
      <c r="L4" s="95">
        <f>+Template!L4</f>
        <v>17</v>
      </c>
      <c r="M4" s="95">
        <v>18</v>
      </c>
      <c r="N4" s="95">
        <v>19</v>
      </c>
      <c r="O4" s="95">
        <f>+Template!O4</f>
        <v>20</v>
      </c>
      <c r="P4" s="95">
        <f>+Template!P4</f>
        <v>21</v>
      </c>
      <c r="Q4" s="95">
        <v>22</v>
      </c>
      <c r="R4" s="95">
        <f>+Template!R4</f>
        <v>30</v>
      </c>
      <c r="S4" s="95">
        <f>+Template!S4</f>
        <v>31</v>
      </c>
      <c r="T4" s="95">
        <f>+Template!T4</f>
        <v>32</v>
      </c>
      <c r="U4" s="95">
        <f>+Template!U4</f>
        <v>33</v>
      </c>
      <c r="V4" s="95">
        <f>+Template!V4</f>
        <v>34</v>
      </c>
      <c r="W4" s="95">
        <f>+Template!W4</f>
        <v>40</v>
      </c>
      <c r="X4" s="95" t="str">
        <f>+Template!X4</f>
        <v>W01</v>
      </c>
      <c r="Y4" s="95" t="str">
        <f>+Template!Y4</f>
        <v>W02</v>
      </c>
      <c r="Z4" s="95" t="str">
        <f>+Template!Z4</f>
        <v>W03</v>
      </c>
      <c r="AA4" s="95" t="str">
        <f>+Template!AA4</f>
        <v>W04</v>
      </c>
      <c r="AB4" s="95" t="str">
        <f>+Template!AB4</f>
        <v>M01</v>
      </c>
      <c r="AC4" s="95" t="str">
        <f>+Template!AC4</f>
        <v>M02</v>
      </c>
      <c r="AD4" s="95" t="str">
        <f>+Template!AD4</f>
        <v>M03</v>
      </c>
      <c r="AE4" s="95" t="str">
        <f>+Template!AE4</f>
        <v>M04</v>
      </c>
      <c r="AF4" s="95" t="str">
        <f>+Template!AF4</f>
        <v>Q01</v>
      </c>
      <c r="AG4" s="95" t="str">
        <f>+Template!AG4</f>
        <v>Q02</v>
      </c>
      <c r="AH4" s="98"/>
      <c r="AI4" s="94">
        <f>+Template!D4</f>
        <v>1</v>
      </c>
      <c r="AJ4" s="95">
        <f>+Template!E4</f>
        <v>10</v>
      </c>
      <c r="AK4" s="95">
        <f>+Template!F4</f>
        <v>11</v>
      </c>
      <c r="AL4" s="95">
        <f>+Template!G4</f>
        <v>12</v>
      </c>
      <c r="AM4" s="95">
        <f>+Template!H4</f>
        <v>13</v>
      </c>
      <c r="AN4" s="95">
        <f>+Template!I4</f>
        <v>14</v>
      </c>
      <c r="AO4" s="95">
        <f>+Template!J4</f>
        <v>15</v>
      </c>
      <c r="AP4" s="95">
        <f>+Template!K4</f>
        <v>16</v>
      </c>
      <c r="AQ4" s="95">
        <f>+Template!L4</f>
        <v>17</v>
      </c>
      <c r="AR4" s="95">
        <v>18</v>
      </c>
      <c r="AS4" s="95">
        <v>19</v>
      </c>
      <c r="AT4" s="95">
        <f>+Template!O4</f>
        <v>20</v>
      </c>
      <c r="AU4" s="95">
        <f>+Template!P4</f>
        <v>21</v>
      </c>
      <c r="AV4" s="95">
        <v>22</v>
      </c>
      <c r="AW4" s="95">
        <f>+Template!R4</f>
        <v>30</v>
      </c>
      <c r="AX4" s="95">
        <f>+Template!S4</f>
        <v>31</v>
      </c>
      <c r="AY4" s="95">
        <f>+Template!T4</f>
        <v>32</v>
      </c>
      <c r="AZ4" s="95">
        <f>+Template!U4</f>
        <v>33</v>
      </c>
      <c r="BA4" s="95">
        <f>+Template!V4</f>
        <v>34</v>
      </c>
      <c r="BB4" s="95">
        <f>+Template!W4</f>
        <v>40</v>
      </c>
      <c r="BC4" s="95" t="str">
        <f>+Template!X4</f>
        <v>W01</v>
      </c>
      <c r="BD4" s="95" t="str">
        <f>+Template!Y4</f>
        <v>W02</v>
      </c>
      <c r="BE4" s="95" t="str">
        <f>+Template!Z4</f>
        <v>W03</v>
      </c>
      <c r="BF4" s="95" t="str">
        <f>+Template!AA4</f>
        <v>W04</v>
      </c>
      <c r="BG4" s="95" t="str">
        <f>+Template!AB4</f>
        <v>M01</v>
      </c>
      <c r="BH4" s="95" t="str">
        <f>+Template!AC4</f>
        <v>M02</v>
      </c>
      <c r="BI4" s="95" t="str">
        <f>+Template!AD4</f>
        <v>M03</v>
      </c>
      <c r="BJ4" s="95" t="str">
        <f>+Template!AE4</f>
        <v>M04</v>
      </c>
      <c r="BK4" s="95" t="str">
        <f>+Template!AF4</f>
        <v>Q01</v>
      </c>
      <c r="BL4" s="95" t="str">
        <f>+Template!AG4</f>
        <v>Q02</v>
      </c>
      <c r="BM4" s="98"/>
      <c r="BN4" s="94">
        <f>+Template!D4</f>
        <v>1</v>
      </c>
      <c r="BO4" s="95">
        <f>+Template!E4</f>
        <v>10</v>
      </c>
      <c r="BP4" s="95">
        <f>+Template!F4</f>
        <v>11</v>
      </c>
      <c r="BQ4" s="95">
        <f>+Template!G4</f>
        <v>12</v>
      </c>
      <c r="BR4" s="95">
        <f>+Template!H4</f>
        <v>13</v>
      </c>
      <c r="BS4" s="95">
        <f>+Template!I4</f>
        <v>14</v>
      </c>
      <c r="BT4" s="95">
        <f>+Template!J4</f>
        <v>15</v>
      </c>
      <c r="BU4" s="95">
        <f>+Template!K4</f>
        <v>16</v>
      </c>
      <c r="BV4" s="95">
        <f>+Template!L4</f>
        <v>17</v>
      </c>
      <c r="BW4" s="95">
        <v>18</v>
      </c>
      <c r="BX4" s="95">
        <v>19</v>
      </c>
      <c r="BY4" s="95">
        <f>+Template!O4</f>
        <v>20</v>
      </c>
      <c r="BZ4" s="95">
        <f>+Template!P4</f>
        <v>21</v>
      </c>
      <c r="CA4" s="95">
        <v>22</v>
      </c>
      <c r="CB4" s="95">
        <f>+Template!R4</f>
        <v>30</v>
      </c>
      <c r="CC4" s="95">
        <f>+Template!S4</f>
        <v>31</v>
      </c>
      <c r="CD4" s="95">
        <f>+Template!T4</f>
        <v>32</v>
      </c>
      <c r="CE4" s="95">
        <f>+Template!U4</f>
        <v>33</v>
      </c>
      <c r="CF4" s="95">
        <f>+Template!V4</f>
        <v>34</v>
      </c>
      <c r="CG4" s="95">
        <f>+Template!W4</f>
        <v>40</v>
      </c>
      <c r="CH4" s="95" t="str">
        <f>+Template!X4</f>
        <v>W01</v>
      </c>
      <c r="CI4" s="95" t="str">
        <f>+Template!Y4</f>
        <v>W02</v>
      </c>
      <c r="CJ4" s="95" t="str">
        <f>+Template!Z4</f>
        <v>W03</v>
      </c>
      <c r="CK4" s="95" t="str">
        <f>+Template!AA4</f>
        <v>W04</v>
      </c>
      <c r="CL4" s="95" t="str">
        <f>+Template!AB4</f>
        <v>M01</v>
      </c>
      <c r="CM4" s="95" t="str">
        <f>+Template!AC4</f>
        <v>M02</v>
      </c>
      <c r="CN4" s="95" t="str">
        <f>+Template!AD4</f>
        <v>M03</v>
      </c>
      <c r="CO4" s="95" t="str">
        <f>+Template!AE4</f>
        <v>M04</v>
      </c>
      <c r="CP4" s="95" t="str">
        <f>+Template!AF4</f>
        <v>Q01</v>
      </c>
      <c r="CQ4" s="95" t="str">
        <f>+Template!AG4</f>
        <v>Q02</v>
      </c>
      <c r="CR4" s="98"/>
      <c r="CS4" s="94">
        <f>+Template!D4</f>
        <v>1</v>
      </c>
      <c r="CT4" s="95">
        <f>+Template!E4</f>
        <v>10</v>
      </c>
      <c r="CU4" s="95">
        <f>+Template!F4</f>
        <v>11</v>
      </c>
      <c r="CV4" s="95">
        <f>+Template!G4</f>
        <v>12</v>
      </c>
      <c r="CW4" s="95">
        <f>+Template!H4</f>
        <v>13</v>
      </c>
      <c r="CX4" s="95">
        <f>+Template!I4</f>
        <v>14</v>
      </c>
      <c r="CY4" s="95">
        <f>+Template!J4</f>
        <v>15</v>
      </c>
      <c r="CZ4" s="95">
        <f>+Template!K4</f>
        <v>16</v>
      </c>
      <c r="DA4" s="95">
        <f>+Template!L4</f>
        <v>17</v>
      </c>
      <c r="DB4" s="95">
        <v>18</v>
      </c>
      <c r="DC4" s="95">
        <v>19</v>
      </c>
      <c r="DD4" s="95">
        <f>+Template!O4</f>
        <v>20</v>
      </c>
      <c r="DE4" s="95">
        <f>+Template!P4</f>
        <v>21</v>
      </c>
      <c r="DF4" s="95">
        <v>22</v>
      </c>
      <c r="DG4" s="95">
        <f>+Template!R4</f>
        <v>30</v>
      </c>
      <c r="DH4" s="95">
        <f>+Template!S4</f>
        <v>31</v>
      </c>
      <c r="DI4" s="95">
        <f>+Template!T4</f>
        <v>32</v>
      </c>
      <c r="DJ4" s="95">
        <f>+Template!U4</f>
        <v>33</v>
      </c>
      <c r="DK4" s="95">
        <f>+Template!V4</f>
        <v>34</v>
      </c>
      <c r="DL4" s="95">
        <f>+Template!W4</f>
        <v>40</v>
      </c>
      <c r="DM4" s="95" t="str">
        <f>+Template!X4</f>
        <v>W01</v>
      </c>
      <c r="DN4" s="95" t="str">
        <f>+Template!Y4</f>
        <v>W02</v>
      </c>
      <c r="DO4" s="95" t="str">
        <f>+Template!Z4</f>
        <v>W03</v>
      </c>
      <c r="DP4" s="95" t="str">
        <f>+Template!AA4</f>
        <v>W04</v>
      </c>
      <c r="DQ4" s="95" t="str">
        <f>+Template!AB4</f>
        <v>M01</v>
      </c>
      <c r="DR4" s="95" t="str">
        <f>+Template!AC4</f>
        <v>M02</v>
      </c>
      <c r="DS4" s="95" t="str">
        <f>+Template!AD4</f>
        <v>M03</v>
      </c>
      <c r="DT4" s="95" t="str">
        <f>+Template!AE4</f>
        <v>M04</v>
      </c>
      <c r="DU4" s="95" t="str">
        <f>+Template!AF4</f>
        <v>Q01</v>
      </c>
      <c r="DV4" s="95" t="str">
        <f>+Template!AG4</f>
        <v>Q02</v>
      </c>
      <c r="DW4" s="98"/>
      <c r="DX4" s="125"/>
      <c r="DY4" s="126"/>
      <c r="DZ4" s="126"/>
      <c r="EA4" s="126"/>
    </row>
    <row r="5" spans="1:141" x14ac:dyDescent="0.4">
      <c r="A5" s="74">
        <f>WEEKDAY(C5)</f>
        <v>6</v>
      </c>
      <c r="B5" s="74">
        <v>1</v>
      </c>
      <c r="C5" s="127">
        <f>DATE(Jaartal,May!$B$3,May!$B5)</f>
        <v>43952</v>
      </c>
      <c r="D5" s="100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2"/>
      <c r="AI5" s="100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2"/>
      <c r="BN5" s="100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2"/>
      <c r="CS5" s="100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3"/>
      <c r="DJ5" s="103"/>
      <c r="DK5" s="103"/>
      <c r="DL5" s="103"/>
      <c r="DM5" s="103"/>
      <c r="DN5" s="103"/>
      <c r="DO5" s="103"/>
      <c r="DP5" s="103"/>
      <c r="DQ5" s="103"/>
      <c r="DR5" s="103"/>
      <c r="DS5" s="103"/>
      <c r="DT5" s="103"/>
      <c r="DU5" s="103"/>
      <c r="DV5" s="103"/>
      <c r="DW5" s="102"/>
      <c r="DX5" s="128"/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</row>
    <row r="6" spans="1:141" x14ac:dyDescent="0.4">
      <c r="A6" s="74">
        <f t="shared" ref="A6:A35" si="0">WEEKDAY(C6)</f>
        <v>7</v>
      </c>
      <c r="B6" s="74">
        <v>2</v>
      </c>
      <c r="C6" s="127">
        <f>DATE(Jaartal,May!$B$3,May!$B6)</f>
        <v>43953</v>
      </c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6"/>
      <c r="AI6" s="104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6"/>
      <c r="BN6" s="104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6"/>
      <c r="CS6" s="104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6"/>
      <c r="DX6" s="128"/>
      <c r="DY6" s="128"/>
      <c r="DZ6" s="128"/>
      <c r="EA6" s="128"/>
      <c r="EB6" s="128"/>
      <c r="EC6" s="128"/>
      <c r="ED6" s="128"/>
      <c r="EE6" s="128"/>
      <c r="EF6" s="128"/>
      <c r="EG6" s="128"/>
      <c r="EH6" s="128"/>
      <c r="EI6" s="128"/>
      <c r="EJ6" s="128"/>
      <c r="EK6" s="128"/>
    </row>
    <row r="7" spans="1:141" x14ac:dyDescent="0.4">
      <c r="A7" s="74">
        <f t="shared" si="0"/>
        <v>1</v>
      </c>
      <c r="B7" s="74">
        <v>3</v>
      </c>
      <c r="C7" s="127">
        <f>DATE(Jaartal,May!$B$3,May!$B7)</f>
        <v>43954</v>
      </c>
      <c r="D7" s="104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6"/>
      <c r="AI7" s="104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6"/>
      <c r="BN7" s="104"/>
      <c r="BO7" s="105"/>
      <c r="BP7" s="105"/>
      <c r="BQ7" s="105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6"/>
      <c r="CS7" s="104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6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</row>
    <row r="8" spans="1:141" x14ac:dyDescent="0.4">
      <c r="A8" s="74">
        <f t="shared" si="0"/>
        <v>2</v>
      </c>
      <c r="B8" s="74">
        <v>4</v>
      </c>
      <c r="C8" s="127">
        <f>DATE(Jaartal,May!$B$3,May!$B8)</f>
        <v>43955</v>
      </c>
      <c r="D8" s="104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6"/>
      <c r="AI8" s="104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6"/>
      <c r="BN8" s="104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6"/>
      <c r="CS8" s="104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/>
      <c r="DT8" s="107"/>
      <c r="DU8" s="107"/>
      <c r="DV8" s="107"/>
      <c r="DW8" s="106"/>
      <c r="DX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</row>
    <row r="9" spans="1:141" x14ac:dyDescent="0.4">
      <c r="A9" s="74">
        <f t="shared" si="0"/>
        <v>3</v>
      </c>
      <c r="B9" s="74">
        <v>5</v>
      </c>
      <c r="C9" s="127">
        <f>DATE(Jaartal,May!$B$3,May!$B9)</f>
        <v>43956</v>
      </c>
      <c r="D9" s="104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6"/>
      <c r="AI9" s="104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6"/>
      <c r="BN9" s="104"/>
      <c r="BO9" s="105"/>
      <c r="BP9" s="105"/>
      <c r="BQ9" s="105"/>
      <c r="BR9" s="105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6"/>
      <c r="CS9" s="104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5"/>
      <c r="DH9" s="105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6"/>
      <c r="DX9" s="128"/>
      <c r="DY9" s="128"/>
      <c r="DZ9" s="128"/>
      <c r="EA9" s="128"/>
      <c r="EB9" s="128"/>
      <c r="EC9" s="128"/>
      <c r="ED9" s="128"/>
      <c r="EE9" s="128"/>
      <c r="EF9" s="128"/>
      <c r="EG9" s="128"/>
      <c r="EH9" s="128"/>
      <c r="EI9" s="128"/>
      <c r="EJ9" s="128"/>
      <c r="EK9" s="128"/>
    </row>
    <row r="10" spans="1:141" x14ac:dyDescent="0.4">
      <c r="A10" s="74">
        <f t="shared" si="0"/>
        <v>4</v>
      </c>
      <c r="B10" s="74">
        <v>6</v>
      </c>
      <c r="C10" s="127">
        <f>DATE(Jaartal,May!$B$3,May!$B10)</f>
        <v>43957</v>
      </c>
      <c r="D10" s="104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6"/>
      <c r="AI10" s="104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6"/>
      <c r="BN10" s="104"/>
      <c r="BO10" s="105"/>
      <c r="BP10" s="105"/>
      <c r="BQ10" s="105"/>
      <c r="BR10" s="105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6"/>
      <c r="CS10" s="104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5"/>
      <c r="DH10" s="105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6"/>
      <c r="DX10" s="128"/>
      <c r="DY10" s="128"/>
      <c r="DZ10" s="128"/>
      <c r="EA10" s="128"/>
      <c r="EB10" s="128"/>
      <c r="EC10" s="128"/>
      <c r="ED10" s="128"/>
      <c r="EE10" s="128"/>
      <c r="EF10" s="128"/>
      <c r="EG10" s="128"/>
      <c r="EH10" s="128"/>
      <c r="EI10" s="128"/>
      <c r="EJ10" s="128"/>
      <c r="EK10" s="128"/>
    </row>
    <row r="11" spans="1:141" x14ac:dyDescent="0.4">
      <c r="A11" s="74">
        <f t="shared" si="0"/>
        <v>5</v>
      </c>
      <c r="B11" s="74">
        <v>7</v>
      </c>
      <c r="C11" s="127">
        <f>DATE(Jaartal,May!$B$3,May!$B11)</f>
        <v>43958</v>
      </c>
      <c r="D11" s="104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6"/>
      <c r="AI11" s="104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6"/>
      <c r="BN11" s="104"/>
      <c r="BO11" s="105"/>
      <c r="BP11" s="105"/>
      <c r="BQ11" s="105"/>
      <c r="BR11" s="105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6"/>
      <c r="CS11" s="104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5"/>
      <c r="DH11" s="105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6"/>
      <c r="DX11" s="128"/>
      <c r="DY11" s="128"/>
      <c r="DZ11" s="128"/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</row>
    <row r="12" spans="1:141" x14ac:dyDescent="0.4">
      <c r="A12" s="74">
        <f t="shared" si="0"/>
        <v>6</v>
      </c>
      <c r="B12" s="74">
        <v>8</v>
      </c>
      <c r="C12" s="127">
        <f>DATE(Jaartal,May!$B$3,May!$B12)</f>
        <v>43959</v>
      </c>
      <c r="D12" s="104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6"/>
      <c r="AI12" s="104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6"/>
      <c r="BN12" s="104"/>
      <c r="BO12" s="105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6"/>
      <c r="CS12" s="104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5"/>
      <c r="DH12" s="105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6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</row>
    <row r="13" spans="1:141" x14ac:dyDescent="0.4">
      <c r="A13" s="74">
        <f t="shared" si="0"/>
        <v>7</v>
      </c>
      <c r="B13" s="74">
        <v>9</v>
      </c>
      <c r="C13" s="127">
        <f>DATE(Jaartal,May!$B$3,May!$B13)</f>
        <v>43960</v>
      </c>
      <c r="D13" s="104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6"/>
      <c r="AI13" s="104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6"/>
      <c r="BN13" s="104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6"/>
      <c r="CS13" s="104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5"/>
      <c r="DH13" s="105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6"/>
      <c r="DX13" s="128"/>
      <c r="DY13" s="128"/>
      <c r="DZ13" s="128"/>
      <c r="EA13" s="128"/>
      <c r="EB13" s="128"/>
      <c r="EC13" s="128"/>
      <c r="ED13" s="128"/>
      <c r="EE13" s="128"/>
      <c r="EF13" s="128"/>
      <c r="EG13" s="128"/>
      <c r="EH13" s="128"/>
      <c r="EI13" s="128"/>
      <c r="EJ13" s="128"/>
      <c r="EK13" s="128"/>
    </row>
    <row r="14" spans="1:141" x14ac:dyDescent="0.4">
      <c r="A14" s="74">
        <f t="shared" si="0"/>
        <v>1</v>
      </c>
      <c r="B14" s="74">
        <v>10</v>
      </c>
      <c r="C14" s="127">
        <f>DATE(Jaartal,May!$B$3,May!$B14)</f>
        <v>43961</v>
      </c>
      <c r="D14" s="104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6"/>
      <c r="AI14" s="104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6"/>
      <c r="BN14" s="104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6"/>
      <c r="CS14" s="104"/>
      <c r="CT14" s="105"/>
      <c r="CU14" s="105"/>
      <c r="CV14" s="105"/>
      <c r="CW14" s="105"/>
      <c r="CX14" s="105"/>
      <c r="CY14" s="105"/>
      <c r="CZ14" s="105"/>
      <c r="DA14" s="105"/>
      <c r="DB14" s="105"/>
      <c r="DC14" s="105"/>
      <c r="DD14" s="105"/>
      <c r="DE14" s="105"/>
      <c r="DF14" s="105"/>
      <c r="DG14" s="105"/>
      <c r="DH14" s="105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6"/>
      <c r="DX14" s="128"/>
      <c r="DY14" s="128"/>
      <c r="DZ14" s="128"/>
      <c r="EA14" s="128"/>
      <c r="EB14" s="128"/>
      <c r="EC14" s="128"/>
      <c r="ED14" s="128"/>
      <c r="EE14" s="128"/>
      <c r="EF14" s="128"/>
      <c r="EG14" s="128"/>
      <c r="EH14" s="128"/>
      <c r="EI14" s="128"/>
      <c r="EJ14" s="128"/>
      <c r="EK14" s="128"/>
    </row>
    <row r="15" spans="1:141" x14ac:dyDescent="0.4">
      <c r="A15" s="74">
        <f t="shared" si="0"/>
        <v>2</v>
      </c>
      <c r="B15" s="74">
        <v>11</v>
      </c>
      <c r="C15" s="127">
        <f>DATE(Jaartal,May!$B$3,May!$B15)</f>
        <v>43962</v>
      </c>
      <c r="D15" s="104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6"/>
      <c r="AI15" s="104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6"/>
      <c r="BN15" s="104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6"/>
      <c r="CS15" s="104"/>
      <c r="CT15" s="105"/>
      <c r="CU15" s="105"/>
      <c r="CV15" s="105"/>
      <c r="CW15" s="105"/>
      <c r="CX15" s="105"/>
      <c r="CY15" s="105"/>
      <c r="CZ15" s="105"/>
      <c r="DA15" s="105"/>
      <c r="DB15" s="105"/>
      <c r="DC15" s="105"/>
      <c r="DD15" s="105"/>
      <c r="DE15" s="105"/>
      <c r="DF15" s="105"/>
      <c r="DG15" s="105"/>
      <c r="DH15" s="105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6"/>
      <c r="DX15" s="128"/>
      <c r="DY15" s="128"/>
      <c r="DZ15" s="128"/>
      <c r="EA15" s="128"/>
      <c r="EB15" s="128"/>
      <c r="EC15" s="128"/>
      <c r="ED15" s="128"/>
      <c r="EE15" s="128"/>
      <c r="EF15" s="128"/>
      <c r="EG15" s="128"/>
      <c r="EH15" s="128"/>
      <c r="EI15" s="128"/>
      <c r="EJ15" s="128"/>
      <c r="EK15" s="128"/>
    </row>
    <row r="16" spans="1:141" x14ac:dyDescent="0.4">
      <c r="A16" s="74">
        <f t="shared" si="0"/>
        <v>3</v>
      </c>
      <c r="B16" s="74">
        <v>12</v>
      </c>
      <c r="C16" s="127">
        <f>DATE(Jaartal,May!$B$3,May!$B16)</f>
        <v>43963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6"/>
      <c r="AI16" s="104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6"/>
      <c r="BN16" s="104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6"/>
      <c r="DX16" s="128"/>
      <c r="DY16" s="128"/>
      <c r="DZ16" s="128"/>
      <c r="EA16" s="128"/>
      <c r="EB16" s="128"/>
      <c r="EC16" s="128"/>
      <c r="ED16" s="128"/>
      <c r="EE16" s="128"/>
      <c r="EF16" s="128"/>
      <c r="EG16" s="128"/>
      <c r="EH16" s="128"/>
      <c r="EI16" s="128"/>
      <c r="EJ16" s="128"/>
      <c r="EK16" s="128"/>
    </row>
    <row r="17" spans="1:141" x14ac:dyDescent="0.4">
      <c r="A17" s="74">
        <f t="shared" si="0"/>
        <v>4</v>
      </c>
      <c r="B17" s="74">
        <v>13</v>
      </c>
      <c r="C17" s="127">
        <f>DATE(Jaartal,May!$B$3,May!$B17)</f>
        <v>43964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6"/>
      <c r="AI17" s="104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6"/>
      <c r="BN17" s="104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6"/>
      <c r="CS17" s="104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6"/>
      <c r="DX17" s="128"/>
      <c r="DY17" s="128"/>
      <c r="DZ17" s="128"/>
      <c r="EA17" s="128"/>
      <c r="EB17" s="128"/>
      <c r="EC17" s="128"/>
      <c r="ED17" s="128"/>
      <c r="EE17" s="128"/>
      <c r="EF17" s="128"/>
      <c r="EG17" s="128"/>
      <c r="EH17" s="128"/>
      <c r="EI17" s="128"/>
      <c r="EJ17" s="128"/>
      <c r="EK17" s="128"/>
    </row>
    <row r="18" spans="1:141" x14ac:dyDescent="0.4">
      <c r="A18" s="74">
        <f t="shared" si="0"/>
        <v>5</v>
      </c>
      <c r="B18" s="74">
        <v>14</v>
      </c>
      <c r="C18" s="127">
        <f>DATE(Jaartal,May!$B$3,May!$B18)</f>
        <v>43965</v>
      </c>
      <c r="D18" s="104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6"/>
      <c r="AI18" s="104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6"/>
      <c r="BN18" s="104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6"/>
      <c r="CS18" s="104"/>
      <c r="CT18" s="105"/>
      <c r="CU18" s="105"/>
      <c r="CV18" s="105"/>
      <c r="CW18" s="105"/>
      <c r="CX18" s="105"/>
      <c r="CY18" s="105"/>
      <c r="CZ18" s="105"/>
      <c r="DA18" s="105"/>
      <c r="DB18" s="105"/>
      <c r="DC18" s="105"/>
      <c r="DD18" s="105"/>
      <c r="DE18" s="105"/>
      <c r="DF18" s="105"/>
      <c r="DG18" s="105"/>
      <c r="DH18" s="105"/>
      <c r="DI18" s="107"/>
      <c r="DJ18" s="107"/>
      <c r="DK18" s="107"/>
      <c r="DL18" s="107"/>
      <c r="DM18" s="107"/>
      <c r="DN18" s="107"/>
      <c r="DO18" s="107"/>
      <c r="DP18" s="107"/>
      <c r="DQ18" s="107"/>
      <c r="DR18" s="107"/>
      <c r="DS18" s="107"/>
      <c r="DT18" s="107"/>
      <c r="DU18" s="107"/>
      <c r="DV18" s="107"/>
      <c r="DW18" s="106"/>
      <c r="DX18" s="128"/>
      <c r="DY18" s="128"/>
      <c r="DZ18" s="128"/>
      <c r="EA18" s="128"/>
      <c r="EB18" s="128"/>
      <c r="EC18" s="128"/>
      <c r="ED18" s="128"/>
      <c r="EE18" s="128"/>
      <c r="EF18" s="128"/>
      <c r="EG18" s="128"/>
      <c r="EH18" s="128"/>
      <c r="EI18" s="128"/>
      <c r="EJ18" s="128"/>
      <c r="EK18" s="128"/>
    </row>
    <row r="19" spans="1:141" x14ac:dyDescent="0.4">
      <c r="A19" s="74">
        <f t="shared" si="0"/>
        <v>6</v>
      </c>
      <c r="B19" s="74">
        <v>15</v>
      </c>
      <c r="C19" s="127">
        <f>DATE(Jaartal,May!$B$3,May!$B19)</f>
        <v>43966</v>
      </c>
      <c r="D19" s="104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6"/>
      <c r="AI19" s="104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6"/>
      <c r="BN19" s="104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6"/>
      <c r="CS19" s="104"/>
      <c r="CT19" s="105"/>
      <c r="CU19" s="105"/>
      <c r="CV19" s="105"/>
      <c r="CW19" s="105"/>
      <c r="CX19" s="105"/>
      <c r="CY19" s="105"/>
      <c r="CZ19" s="105"/>
      <c r="DA19" s="105"/>
      <c r="DB19" s="105"/>
      <c r="DC19" s="105"/>
      <c r="DD19" s="105"/>
      <c r="DE19" s="105"/>
      <c r="DF19" s="105"/>
      <c r="DG19" s="105"/>
      <c r="DH19" s="105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6"/>
      <c r="DX19" s="128"/>
      <c r="DY19" s="128"/>
      <c r="DZ19" s="128"/>
      <c r="EA19" s="128"/>
      <c r="EB19" s="128"/>
      <c r="EC19" s="128"/>
      <c r="ED19" s="128"/>
      <c r="EE19" s="128"/>
      <c r="EF19" s="128"/>
      <c r="EG19" s="128"/>
      <c r="EH19" s="128"/>
      <c r="EI19" s="128"/>
      <c r="EJ19" s="128"/>
      <c r="EK19" s="128"/>
    </row>
    <row r="20" spans="1:141" x14ac:dyDescent="0.4">
      <c r="A20" s="74">
        <f t="shared" si="0"/>
        <v>7</v>
      </c>
      <c r="B20" s="74">
        <v>16</v>
      </c>
      <c r="C20" s="127">
        <f>DATE(Jaartal,May!$B$3,May!$B20)</f>
        <v>43967</v>
      </c>
      <c r="D20" s="104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6"/>
      <c r="AI20" s="104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6"/>
      <c r="BN20" s="104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6"/>
      <c r="CS20" s="104"/>
      <c r="CT20" s="105"/>
      <c r="CU20" s="105"/>
      <c r="CV20" s="105"/>
      <c r="CW20" s="105"/>
      <c r="CX20" s="105"/>
      <c r="CY20" s="105"/>
      <c r="CZ20" s="105"/>
      <c r="DA20" s="105"/>
      <c r="DB20" s="105"/>
      <c r="DC20" s="105"/>
      <c r="DD20" s="105"/>
      <c r="DE20" s="105"/>
      <c r="DF20" s="105"/>
      <c r="DG20" s="105"/>
      <c r="DH20" s="105"/>
      <c r="DI20" s="107"/>
      <c r="DJ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U20" s="107"/>
      <c r="DV20" s="107"/>
      <c r="DW20" s="106"/>
      <c r="DX20" s="128"/>
      <c r="DY20" s="128"/>
      <c r="DZ20" s="128"/>
      <c r="EA20" s="128"/>
      <c r="EB20" s="128"/>
      <c r="EC20" s="128"/>
      <c r="ED20" s="128"/>
      <c r="EE20" s="128"/>
      <c r="EF20" s="128"/>
      <c r="EG20" s="128"/>
      <c r="EH20" s="128"/>
      <c r="EI20" s="128"/>
      <c r="EJ20" s="128"/>
      <c r="EK20" s="128"/>
    </row>
    <row r="21" spans="1:141" x14ac:dyDescent="0.4">
      <c r="A21" s="74">
        <f t="shared" si="0"/>
        <v>1</v>
      </c>
      <c r="B21" s="74">
        <v>17</v>
      </c>
      <c r="C21" s="127">
        <f>DATE(Jaartal,May!$B$3,May!$B21)</f>
        <v>43968</v>
      </c>
      <c r="D21" s="104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6"/>
      <c r="AI21" s="104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6"/>
      <c r="BN21" s="104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6"/>
      <c r="CS21" s="104"/>
      <c r="CT21" s="105"/>
      <c r="CU21" s="105"/>
      <c r="CV21" s="105"/>
      <c r="CW21" s="105"/>
      <c r="CX21" s="105"/>
      <c r="CY21" s="105"/>
      <c r="CZ21" s="105"/>
      <c r="DA21" s="105"/>
      <c r="DB21" s="105"/>
      <c r="DC21" s="105"/>
      <c r="DD21" s="105"/>
      <c r="DE21" s="105"/>
      <c r="DF21" s="105"/>
      <c r="DG21" s="105"/>
      <c r="DH21" s="105"/>
      <c r="DI21" s="107"/>
      <c r="DJ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U21" s="107"/>
      <c r="DV21" s="107"/>
      <c r="DW21" s="106"/>
      <c r="DX21" s="128"/>
      <c r="DY21" s="128"/>
      <c r="DZ21" s="128"/>
      <c r="EA21" s="128"/>
      <c r="EB21" s="128"/>
      <c r="EC21" s="128"/>
      <c r="ED21" s="128"/>
      <c r="EE21" s="128"/>
      <c r="EF21" s="128"/>
      <c r="EG21" s="128"/>
      <c r="EH21" s="128"/>
      <c r="EI21" s="128"/>
      <c r="EJ21" s="128"/>
      <c r="EK21" s="128"/>
    </row>
    <row r="22" spans="1:141" x14ac:dyDescent="0.4">
      <c r="A22" s="74">
        <f t="shared" si="0"/>
        <v>2</v>
      </c>
      <c r="B22" s="74">
        <v>18</v>
      </c>
      <c r="C22" s="127">
        <f>DATE(Jaartal,May!$B$3,May!$B22)</f>
        <v>43969</v>
      </c>
      <c r="D22" s="104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6"/>
      <c r="AI22" s="104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6"/>
      <c r="BN22" s="104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6"/>
      <c r="CS22" s="104"/>
      <c r="CT22" s="105"/>
      <c r="CU22" s="105"/>
      <c r="CV22" s="105"/>
      <c r="CW22" s="105"/>
      <c r="CX22" s="105"/>
      <c r="CY22" s="105"/>
      <c r="CZ22" s="105"/>
      <c r="DA22" s="105"/>
      <c r="DB22" s="105"/>
      <c r="DC22" s="105"/>
      <c r="DD22" s="105"/>
      <c r="DE22" s="105"/>
      <c r="DF22" s="105"/>
      <c r="DG22" s="105"/>
      <c r="DH22" s="105"/>
      <c r="DI22" s="107"/>
      <c r="DJ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U22" s="107"/>
      <c r="DV22" s="107"/>
      <c r="DW22" s="106"/>
      <c r="DX22" s="128"/>
      <c r="DY22" s="128"/>
      <c r="DZ22" s="128"/>
      <c r="EA22" s="128"/>
      <c r="EB22" s="128"/>
      <c r="EC22" s="128"/>
      <c r="ED22" s="128"/>
      <c r="EE22" s="128"/>
      <c r="EF22" s="128"/>
      <c r="EG22" s="128"/>
      <c r="EH22" s="128"/>
      <c r="EI22" s="128"/>
      <c r="EJ22" s="128"/>
      <c r="EK22" s="128"/>
    </row>
    <row r="23" spans="1:141" x14ac:dyDescent="0.4">
      <c r="A23" s="74">
        <f t="shared" si="0"/>
        <v>3</v>
      </c>
      <c r="B23" s="74">
        <v>19</v>
      </c>
      <c r="C23" s="127">
        <f>DATE(Jaartal,May!$B$3,May!$B23)</f>
        <v>43970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6"/>
      <c r="AI23" s="104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6"/>
      <c r="BN23" s="104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7"/>
      <c r="CE23" s="107"/>
      <c r="CF23" s="107"/>
      <c r="CG23" s="107"/>
      <c r="CH23" s="107"/>
      <c r="CI23" s="107"/>
      <c r="CJ23" s="107"/>
      <c r="CK23" s="107"/>
      <c r="CL23" s="107"/>
      <c r="CM23" s="107"/>
      <c r="CN23" s="107"/>
      <c r="CO23" s="107"/>
      <c r="CP23" s="107"/>
      <c r="CQ23" s="107"/>
      <c r="CR23" s="106"/>
      <c r="CS23" s="104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5"/>
      <c r="DH23" s="105"/>
      <c r="DI23" s="107"/>
      <c r="DJ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U23" s="107"/>
      <c r="DV23" s="107"/>
      <c r="DW23" s="106"/>
      <c r="DX23" s="128"/>
      <c r="DY23" s="128"/>
      <c r="DZ23" s="128"/>
      <c r="EA23" s="128"/>
      <c r="EB23" s="128"/>
      <c r="EC23" s="128"/>
      <c r="ED23" s="128"/>
      <c r="EE23" s="128"/>
      <c r="EF23" s="128"/>
      <c r="EG23" s="128"/>
      <c r="EH23" s="128"/>
      <c r="EI23" s="128"/>
      <c r="EJ23" s="128"/>
      <c r="EK23" s="128"/>
    </row>
    <row r="24" spans="1:141" x14ac:dyDescent="0.4">
      <c r="A24" s="74">
        <f t="shared" si="0"/>
        <v>4</v>
      </c>
      <c r="B24" s="74">
        <v>20</v>
      </c>
      <c r="C24" s="127">
        <f>DATE(Jaartal,May!$B$3,May!$B24)</f>
        <v>43971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6"/>
      <c r="AI24" s="104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6"/>
      <c r="BN24" s="104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6"/>
      <c r="DX24" s="128"/>
      <c r="DY24" s="128"/>
      <c r="DZ24" s="128"/>
      <c r="EA24" s="128"/>
      <c r="EB24" s="128"/>
      <c r="EC24" s="128"/>
      <c r="ED24" s="128"/>
      <c r="EE24" s="128"/>
      <c r="EF24" s="128"/>
      <c r="EG24" s="128"/>
      <c r="EH24" s="128"/>
      <c r="EI24" s="128"/>
      <c r="EJ24" s="128"/>
      <c r="EK24" s="128"/>
    </row>
    <row r="25" spans="1:141" x14ac:dyDescent="0.4">
      <c r="A25" s="74">
        <f t="shared" si="0"/>
        <v>5</v>
      </c>
      <c r="B25" s="74">
        <v>21</v>
      </c>
      <c r="C25" s="127">
        <f>DATE(Jaartal,May!$B$3,May!$B25)</f>
        <v>43972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6"/>
      <c r="AI25" s="104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6"/>
      <c r="BN25" s="104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U25" s="107"/>
      <c r="DV25" s="107"/>
      <c r="DW25" s="106"/>
      <c r="DX25" s="128"/>
      <c r="DY25" s="128"/>
      <c r="DZ25" s="128"/>
      <c r="EA25" s="128"/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</row>
    <row r="26" spans="1:141" x14ac:dyDescent="0.4">
      <c r="A26" s="74">
        <f t="shared" si="0"/>
        <v>6</v>
      </c>
      <c r="B26" s="74">
        <v>22</v>
      </c>
      <c r="C26" s="127">
        <f>DATE(Jaartal,May!$B$3,May!$B26)</f>
        <v>43973</v>
      </c>
      <c r="D26" s="104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6"/>
      <c r="AI26" s="104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6"/>
      <c r="BN26" s="104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6"/>
      <c r="CS26" s="104"/>
      <c r="CT26" s="105"/>
      <c r="CU26" s="105"/>
      <c r="CV26" s="105"/>
      <c r="CW26" s="105"/>
      <c r="CX26" s="105"/>
      <c r="CY26" s="105"/>
      <c r="CZ26" s="105"/>
      <c r="DA26" s="105"/>
      <c r="DB26" s="105"/>
      <c r="DC26" s="105"/>
      <c r="DD26" s="105"/>
      <c r="DE26" s="105"/>
      <c r="DF26" s="105"/>
      <c r="DG26" s="105"/>
      <c r="DH26" s="105"/>
      <c r="DI26" s="107"/>
      <c r="DJ26" s="107"/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U26" s="107"/>
      <c r="DV26" s="107"/>
      <c r="DW26" s="106"/>
      <c r="DX26" s="128"/>
      <c r="DY26" s="128"/>
      <c r="DZ26" s="128"/>
      <c r="EA26" s="128"/>
      <c r="EB26" s="128"/>
      <c r="EC26" s="128"/>
      <c r="ED26" s="128"/>
      <c r="EE26" s="128"/>
      <c r="EF26" s="128"/>
      <c r="EG26" s="128"/>
      <c r="EH26" s="128"/>
      <c r="EI26" s="128"/>
      <c r="EJ26" s="128"/>
      <c r="EK26" s="128"/>
    </row>
    <row r="27" spans="1:141" x14ac:dyDescent="0.4">
      <c r="A27" s="74">
        <f t="shared" si="0"/>
        <v>7</v>
      </c>
      <c r="B27" s="74">
        <v>23</v>
      </c>
      <c r="C27" s="127">
        <f>DATE(Jaartal,May!$B$3,May!$B27)</f>
        <v>43974</v>
      </c>
      <c r="D27" s="104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6"/>
      <c r="AI27" s="104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6"/>
      <c r="BN27" s="104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6"/>
      <c r="CS27" s="104"/>
      <c r="CT27" s="105"/>
      <c r="CU27" s="105"/>
      <c r="CV27" s="105"/>
      <c r="CW27" s="105"/>
      <c r="CX27" s="105"/>
      <c r="CY27" s="105"/>
      <c r="CZ27" s="105"/>
      <c r="DA27" s="105"/>
      <c r="DB27" s="105"/>
      <c r="DC27" s="105"/>
      <c r="DD27" s="105"/>
      <c r="DE27" s="105"/>
      <c r="DF27" s="105"/>
      <c r="DG27" s="105"/>
      <c r="DH27" s="105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U27" s="107"/>
      <c r="DV27" s="107"/>
      <c r="DW27" s="106"/>
      <c r="DX27" s="128"/>
      <c r="DY27" s="128"/>
      <c r="DZ27" s="128"/>
      <c r="EA27" s="128"/>
      <c r="EB27" s="128"/>
      <c r="EC27" s="128"/>
      <c r="ED27" s="128"/>
      <c r="EE27" s="128"/>
      <c r="EF27" s="128"/>
      <c r="EG27" s="128"/>
      <c r="EH27" s="128"/>
      <c r="EI27" s="128"/>
      <c r="EJ27" s="128"/>
      <c r="EK27" s="128"/>
    </row>
    <row r="28" spans="1:141" x14ac:dyDescent="0.4">
      <c r="A28" s="74">
        <f t="shared" si="0"/>
        <v>1</v>
      </c>
      <c r="B28" s="74">
        <v>24</v>
      </c>
      <c r="C28" s="127">
        <f>DATE(Jaartal,May!$B$3,May!$B28)</f>
        <v>43975</v>
      </c>
      <c r="D28" s="104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6"/>
      <c r="AI28" s="104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6"/>
      <c r="BN28" s="104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6"/>
      <c r="CS28" s="104"/>
      <c r="CT28" s="105"/>
      <c r="CU28" s="105"/>
      <c r="CV28" s="105"/>
      <c r="CW28" s="105"/>
      <c r="CX28" s="105"/>
      <c r="CY28" s="105"/>
      <c r="CZ28" s="105"/>
      <c r="DA28" s="105"/>
      <c r="DB28" s="105"/>
      <c r="DC28" s="105"/>
      <c r="DD28" s="105"/>
      <c r="DE28" s="105"/>
      <c r="DF28" s="105"/>
      <c r="DG28" s="105"/>
      <c r="DH28" s="105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6"/>
      <c r="DX28" s="128"/>
      <c r="DY28" s="128"/>
      <c r="DZ28" s="128"/>
      <c r="EA28" s="128"/>
      <c r="EB28" s="128"/>
      <c r="EC28" s="128"/>
      <c r="ED28" s="128"/>
      <c r="EE28" s="128"/>
      <c r="EF28" s="128"/>
      <c r="EG28" s="128"/>
      <c r="EH28" s="128"/>
      <c r="EI28" s="128"/>
      <c r="EJ28" s="128"/>
      <c r="EK28" s="128"/>
    </row>
    <row r="29" spans="1:141" x14ac:dyDescent="0.4">
      <c r="A29" s="74">
        <f t="shared" si="0"/>
        <v>2</v>
      </c>
      <c r="B29" s="74">
        <v>25</v>
      </c>
      <c r="C29" s="127">
        <f>DATE(Jaartal,May!$B$3,May!$B29)</f>
        <v>43976</v>
      </c>
      <c r="D29" s="104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6"/>
      <c r="AI29" s="104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6"/>
      <c r="BN29" s="104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6"/>
      <c r="CS29" s="104"/>
      <c r="CT29" s="105"/>
      <c r="CU29" s="105"/>
      <c r="CV29" s="105"/>
      <c r="CW29" s="105"/>
      <c r="CX29" s="105"/>
      <c r="CY29" s="105"/>
      <c r="CZ29" s="105"/>
      <c r="DA29" s="105"/>
      <c r="DB29" s="105"/>
      <c r="DC29" s="105"/>
      <c r="DD29" s="105"/>
      <c r="DE29" s="105"/>
      <c r="DF29" s="105"/>
      <c r="DG29" s="105"/>
      <c r="DH29" s="105"/>
      <c r="DI29" s="107"/>
      <c r="DJ29" s="107"/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U29" s="107"/>
      <c r="DV29" s="107"/>
      <c r="DW29" s="106"/>
      <c r="DX29" s="128"/>
      <c r="DY29" s="128"/>
      <c r="DZ29" s="128"/>
      <c r="EA29" s="128"/>
      <c r="EB29" s="128"/>
      <c r="EC29" s="128"/>
      <c r="ED29" s="128"/>
      <c r="EE29" s="128"/>
      <c r="EF29" s="128"/>
      <c r="EG29" s="128"/>
      <c r="EH29" s="128"/>
      <c r="EI29" s="128"/>
      <c r="EJ29" s="128"/>
      <c r="EK29" s="128"/>
    </row>
    <row r="30" spans="1:141" x14ac:dyDescent="0.4">
      <c r="A30" s="74">
        <f t="shared" si="0"/>
        <v>3</v>
      </c>
      <c r="B30" s="74">
        <v>26</v>
      </c>
      <c r="C30" s="127">
        <f>DATE(Jaartal,May!$B$3,May!$B30)</f>
        <v>43977</v>
      </c>
      <c r="D30" s="104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6"/>
      <c r="AI30" s="104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6"/>
      <c r="BN30" s="104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6"/>
      <c r="CS30" s="104"/>
      <c r="CT30" s="105"/>
      <c r="CU30" s="105"/>
      <c r="CV30" s="105"/>
      <c r="CW30" s="105"/>
      <c r="CX30" s="105"/>
      <c r="CY30" s="105"/>
      <c r="CZ30" s="105"/>
      <c r="DA30" s="105"/>
      <c r="DB30" s="105"/>
      <c r="DC30" s="105"/>
      <c r="DD30" s="105"/>
      <c r="DE30" s="105"/>
      <c r="DF30" s="105"/>
      <c r="DG30" s="105"/>
      <c r="DH30" s="105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U30" s="107"/>
      <c r="DV30" s="107"/>
      <c r="DW30" s="106"/>
      <c r="DX30" s="128"/>
      <c r="DY30" s="128"/>
      <c r="DZ30" s="128"/>
      <c r="EA30" s="128"/>
      <c r="EB30" s="128"/>
      <c r="EC30" s="128"/>
      <c r="ED30" s="128"/>
      <c r="EE30" s="128"/>
      <c r="EF30" s="128"/>
      <c r="EG30" s="128"/>
      <c r="EH30" s="128"/>
      <c r="EI30" s="128"/>
      <c r="EJ30" s="128"/>
      <c r="EK30" s="128"/>
    </row>
    <row r="31" spans="1:141" x14ac:dyDescent="0.4">
      <c r="A31" s="74">
        <f t="shared" si="0"/>
        <v>4</v>
      </c>
      <c r="B31" s="74">
        <v>27</v>
      </c>
      <c r="C31" s="127">
        <f>DATE(Jaartal,May!$B$3,May!$B31)</f>
        <v>43978</v>
      </c>
      <c r="D31" s="104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6"/>
      <c r="AI31" s="104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6"/>
      <c r="BN31" s="104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6"/>
      <c r="CS31" s="104"/>
      <c r="CT31" s="105"/>
      <c r="CU31" s="105"/>
      <c r="CV31" s="105"/>
      <c r="CW31" s="105"/>
      <c r="CX31" s="105"/>
      <c r="CY31" s="105"/>
      <c r="CZ31" s="105"/>
      <c r="DA31" s="105"/>
      <c r="DB31" s="105"/>
      <c r="DC31" s="105"/>
      <c r="DD31" s="105"/>
      <c r="DE31" s="105"/>
      <c r="DF31" s="105"/>
      <c r="DG31" s="105"/>
      <c r="DH31" s="105"/>
      <c r="DI31" s="107"/>
      <c r="DJ31" s="107"/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U31" s="107"/>
      <c r="DV31" s="107"/>
      <c r="DW31" s="106"/>
      <c r="DX31" s="128"/>
      <c r="DY31" s="128"/>
      <c r="DZ31" s="128"/>
      <c r="EA31" s="128"/>
      <c r="EB31" s="128"/>
      <c r="EC31" s="128"/>
      <c r="ED31" s="128"/>
      <c r="EE31" s="128"/>
      <c r="EF31" s="128"/>
      <c r="EG31" s="128"/>
      <c r="EH31" s="128"/>
      <c r="EI31" s="128"/>
      <c r="EJ31" s="128"/>
      <c r="EK31" s="128"/>
    </row>
    <row r="32" spans="1:141" x14ac:dyDescent="0.4">
      <c r="A32" s="74">
        <f t="shared" si="0"/>
        <v>5</v>
      </c>
      <c r="B32" s="74">
        <v>28</v>
      </c>
      <c r="C32" s="127">
        <f>DATE(Jaartal,May!$B$3,May!$B32)</f>
        <v>43979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6"/>
      <c r="AI32" s="104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6"/>
      <c r="BN32" s="104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6"/>
      <c r="CS32" s="104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6"/>
      <c r="DX32" s="128"/>
      <c r="DY32" s="128"/>
      <c r="DZ32" s="128"/>
      <c r="EA32" s="128"/>
      <c r="EB32" s="128"/>
      <c r="EC32" s="128"/>
      <c r="ED32" s="128"/>
      <c r="EE32" s="128"/>
      <c r="EF32" s="128"/>
      <c r="EG32" s="128"/>
      <c r="EH32" s="128"/>
      <c r="EI32" s="128"/>
      <c r="EJ32" s="128"/>
      <c r="EK32" s="128"/>
    </row>
    <row r="33" spans="1:141" x14ac:dyDescent="0.4">
      <c r="A33" s="74">
        <f t="shared" si="0"/>
        <v>6</v>
      </c>
      <c r="B33" s="74">
        <v>29</v>
      </c>
      <c r="C33" s="127">
        <f>DATE(Jaartal,May!$B$3,May!$B33)</f>
        <v>43980</v>
      </c>
      <c r="D33" s="104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6"/>
      <c r="AI33" s="104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6"/>
      <c r="BN33" s="104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6"/>
      <c r="CS33" s="104"/>
      <c r="CT33" s="105"/>
      <c r="CU33" s="105"/>
      <c r="CV33" s="105"/>
      <c r="CW33" s="105"/>
      <c r="CX33" s="105"/>
      <c r="CY33" s="105"/>
      <c r="CZ33" s="105"/>
      <c r="DA33" s="105"/>
      <c r="DB33" s="105"/>
      <c r="DC33" s="105"/>
      <c r="DD33" s="105"/>
      <c r="DE33" s="105"/>
      <c r="DF33" s="105"/>
      <c r="DG33" s="105"/>
      <c r="DH33" s="105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6"/>
      <c r="DX33" s="128"/>
      <c r="DY33" s="128"/>
      <c r="DZ33" s="128"/>
      <c r="EA33" s="128"/>
      <c r="EB33" s="128"/>
      <c r="EC33" s="128"/>
      <c r="ED33" s="128"/>
      <c r="EE33" s="128"/>
      <c r="EF33" s="128"/>
      <c r="EG33" s="128"/>
      <c r="EH33" s="128"/>
      <c r="EI33" s="128"/>
      <c r="EJ33" s="128"/>
      <c r="EK33" s="128"/>
    </row>
    <row r="34" spans="1:141" x14ac:dyDescent="0.4">
      <c r="A34" s="74">
        <f t="shared" si="0"/>
        <v>7</v>
      </c>
      <c r="B34" s="74">
        <v>30</v>
      </c>
      <c r="C34" s="127">
        <f>DATE(Jaartal,May!$B$3,May!$B34)</f>
        <v>43981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6"/>
      <c r="AI34" s="104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6"/>
      <c r="BN34" s="104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6"/>
      <c r="CS34" s="104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5"/>
      <c r="DH34" s="105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6"/>
      <c r="DX34" s="128"/>
      <c r="DY34" s="128"/>
      <c r="DZ34" s="128"/>
      <c r="EA34" s="128"/>
      <c r="EB34" s="128"/>
      <c r="EC34" s="128"/>
      <c r="ED34" s="128"/>
      <c r="EE34" s="128"/>
      <c r="EF34" s="128"/>
      <c r="EG34" s="128"/>
      <c r="EH34" s="128"/>
      <c r="EI34" s="128"/>
      <c r="EJ34" s="128"/>
      <c r="EK34" s="128"/>
    </row>
    <row r="35" spans="1:141" x14ac:dyDescent="0.4">
      <c r="A35" s="74">
        <f t="shared" si="0"/>
        <v>1</v>
      </c>
      <c r="B35" s="74">
        <v>31</v>
      </c>
      <c r="C35" s="127">
        <f>DATE(Jaartal,May!$B$3,May!$B35)</f>
        <v>43982</v>
      </c>
      <c r="D35" s="104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6"/>
      <c r="AI35" s="104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6"/>
      <c r="BN35" s="104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6"/>
      <c r="CS35" s="108"/>
      <c r="CT35" s="105"/>
      <c r="CU35" s="105"/>
      <c r="CV35" s="105"/>
      <c r="CW35" s="105"/>
      <c r="CX35" s="105"/>
      <c r="CY35" s="105"/>
      <c r="CZ35" s="105"/>
      <c r="DA35" s="105"/>
      <c r="DB35" s="105"/>
      <c r="DC35" s="105"/>
      <c r="DD35" s="105"/>
      <c r="DE35" s="105"/>
      <c r="DF35" s="105"/>
      <c r="DG35" s="105"/>
      <c r="DH35" s="105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6"/>
      <c r="DX35" s="128"/>
      <c r="DY35" s="128"/>
      <c r="DZ35" s="128"/>
      <c r="EA35" s="128"/>
      <c r="EB35" s="128"/>
      <c r="EC35" s="128"/>
      <c r="ED35" s="128"/>
      <c r="EE35" s="128"/>
      <c r="EF35" s="128"/>
      <c r="EG35" s="128"/>
      <c r="EH35" s="128"/>
      <c r="EI35" s="128"/>
      <c r="EJ35" s="128"/>
      <c r="EK35" s="128"/>
    </row>
    <row r="36" spans="1:141" x14ac:dyDescent="0.4">
      <c r="BR36" s="128"/>
      <c r="BS36" s="128"/>
      <c r="BT36" s="128"/>
      <c r="BU36" s="128"/>
      <c r="BV36" s="128"/>
      <c r="BY36" s="128"/>
      <c r="BZ36" s="128"/>
      <c r="CB36" s="128"/>
      <c r="CC36" s="128"/>
      <c r="CD36" s="128"/>
      <c r="CE36" s="128"/>
      <c r="CF36" s="128"/>
      <c r="CG36" s="128"/>
      <c r="CH36" s="128"/>
      <c r="CI36" s="128"/>
      <c r="CJ36" s="128"/>
      <c r="CK36" s="128"/>
      <c r="CL36" s="128"/>
      <c r="CM36" s="128"/>
      <c r="CN36" s="128"/>
      <c r="CO36" s="128"/>
      <c r="CP36" s="128"/>
      <c r="CQ36" s="128"/>
      <c r="CW36" s="128"/>
      <c r="CX36" s="128"/>
      <c r="CY36" s="128"/>
      <c r="CZ36" s="128"/>
      <c r="DA36" s="128"/>
      <c r="DD36" s="128"/>
      <c r="DE36" s="128"/>
      <c r="DG36" s="128"/>
      <c r="DH36" s="128"/>
      <c r="DI36" s="128"/>
      <c r="DJ36" s="128"/>
      <c r="DK36" s="128"/>
      <c r="DL36" s="128"/>
      <c r="DM36" s="128"/>
      <c r="DN36" s="128"/>
      <c r="DO36" s="128"/>
      <c r="DP36" s="128"/>
      <c r="DQ36" s="128"/>
      <c r="DR36" s="128"/>
      <c r="DS36" s="128"/>
      <c r="DT36" s="128"/>
      <c r="DU36" s="128"/>
      <c r="DV36" s="128"/>
    </row>
    <row r="38" spans="1:141" ht="13.5" thickBot="1" x14ac:dyDescent="0.45"/>
    <row r="39" spans="1:141" ht="13.5" thickBot="1" x14ac:dyDescent="0.45">
      <c r="D39" s="109" t="s">
        <v>7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1"/>
    </row>
    <row r="40" spans="1:141" ht="13.5" thickBot="1" x14ac:dyDescent="0.45">
      <c r="D40" s="112">
        <v>1</v>
      </c>
      <c r="E40" s="113" t="s">
        <v>4</v>
      </c>
      <c r="F40" s="113"/>
      <c r="G40" s="113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5"/>
    </row>
    <row r="41" spans="1:141" ht="13.5" thickBot="1" x14ac:dyDescent="0.45">
      <c r="D41" s="116">
        <v>2</v>
      </c>
      <c r="E41" s="117" t="s">
        <v>79</v>
      </c>
      <c r="F41" s="117"/>
      <c r="G41" s="117"/>
      <c r="H41" s="117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9"/>
    </row>
    <row r="42" spans="1:141" ht="13.5" thickBot="1" x14ac:dyDescent="0.45">
      <c r="D42" s="120">
        <v>3</v>
      </c>
      <c r="E42" s="117" t="s">
        <v>66</v>
      </c>
      <c r="F42" s="117"/>
      <c r="G42" s="117"/>
      <c r="H42" s="117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9"/>
    </row>
    <row r="43" spans="1:141" ht="13.5" thickBot="1" x14ac:dyDescent="0.45">
      <c r="D43" s="121"/>
      <c r="E43" s="122" t="s">
        <v>80</v>
      </c>
      <c r="F43" s="122"/>
      <c r="G43" s="122"/>
      <c r="H43" s="12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4"/>
    </row>
    <row r="44" spans="1:141" x14ac:dyDescent="0.4">
      <c r="D44" s="129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1"/>
      <c r="AI44" s="131"/>
      <c r="AR44" s="130"/>
      <c r="AS44" s="130"/>
      <c r="AV44" s="130"/>
      <c r="BW44" s="130"/>
      <c r="BX44" s="130"/>
      <c r="CA44" s="130"/>
      <c r="DB44" s="130"/>
      <c r="DC44" s="130"/>
      <c r="DF44" s="130"/>
    </row>
    <row r="52" spans="33:34" x14ac:dyDescent="0.4">
      <c r="AG52" s="128"/>
      <c r="AH52" s="128"/>
    </row>
    <row r="53" spans="33:34" x14ac:dyDescent="0.4">
      <c r="AG53" s="128"/>
      <c r="AH53" s="128"/>
    </row>
    <row r="54" spans="33:34" x14ac:dyDescent="0.4">
      <c r="AG54" s="128"/>
      <c r="AH54" s="128"/>
    </row>
    <row r="55" spans="33:34" x14ac:dyDescent="0.4">
      <c r="AG55" s="128"/>
      <c r="AH55" s="128"/>
    </row>
    <row r="56" spans="33:34" x14ac:dyDescent="0.4">
      <c r="AG56" s="128"/>
      <c r="AH56" s="128"/>
    </row>
  </sheetData>
  <sheetProtection sheet="1" objects="1" scenarios="1" selectLockedCells="1"/>
  <mergeCells count="13">
    <mergeCell ref="D39:AI39"/>
    <mergeCell ref="E40:AI40"/>
    <mergeCell ref="E41:AI41"/>
    <mergeCell ref="E42:AI42"/>
    <mergeCell ref="E43:AI43"/>
    <mergeCell ref="D1:AH1"/>
    <mergeCell ref="AI1:BM1"/>
    <mergeCell ref="BN1:CR1"/>
    <mergeCell ref="CS1:DW1"/>
    <mergeCell ref="AH3:AH4"/>
    <mergeCell ref="BM3:BM4"/>
    <mergeCell ref="CR3:CR4"/>
    <mergeCell ref="DW3:DW4"/>
  </mergeCells>
  <conditionalFormatting sqref="D5:L35 O5:P35 AT5:AU35 BY5:BZ35 DD5:DE35 R5:AQ35 AW5:BV35 CB5:DA35 DG5:DW35">
    <cfRule type="expression" dxfId="319" priority="33" stopIfTrue="1">
      <formula>D5=3</formula>
    </cfRule>
    <cfRule type="expression" dxfId="318" priority="34" stopIfTrue="1">
      <formula>D5=2</formula>
    </cfRule>
    <cfRule type="expression" dxfId="317" priority="35" stopIfTrue="1">
      <formula>D5=1</formula>
    </cfRule>
    <cfRule type="expression" dxfId="316" priority="36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315" priority="29" stopIfTrue="1">
      <formula>M5=3</formula>
    </cfRule>
    <cfRule type="expression" dxfId="314" priority="30" stopIfTrue="1">
      <formula>M5=2</formula>
    </cfRule>
    <cfRule type="expression" dxfId="313" priority="31" stopIfTrue="1">
      <formula>M5=1</formula>
    </cfRule>
    <cfRule type="expression" dxfId="312" priority="32" stopIfTrue="1">
      <formula>IF($A5=1,1,IF($A5=7,1,IF(M$2="Q",IF($A5=2,IF($B5&lt;8,IF(MOD($B$3,3)&lt;&gt;0,1,0),1),1),IF(M$2="M",IF($A5=2,IF($B5&gt;7,1,0),1),IF(M$2="W",IF($A5=2,0,1),0)))))</formula>
    </cfRule>
  </conditionalFormatting>
  <conditionalFormatting sqref="AR5:AS35">
    <cfRule type="expression" dxfId="311" priority="25" stopIfTrue="1">
      <formula>AR5=3</formula>
    </cfRule>
    <cfRule type="expression" dxfId="310" priority="26" stopIfTrue="1">
      <formula>AR5=2</formula>
    </cfRule>
    <cfRule type="expression" dxfId="309" priority="27" stopIfTrue="1">
      <formula>AR5=1</formula>
    </cfRule>
    <cfRule type="expression" dxfId="308" priority="28" stopIfTrue="1">
      <formula>IF($A5=1,1,IF($A5=7,1,IF(AR$2="Q",IF($A5=2,IF($B5&lt;8,IF(MOD($B$3,3)&lt;&gt;0,1,0),1),1),IF(AR$2="M",IF($A5=2,IF($B5&gt;7,1,0),1),IF(AR$2="W",IF($A5=2,0,1),0)))))</formula>
    </cfRule>
  </conditionalFormatting>
  <conditionalFormatting sqref="BW5:BX35">
    <cfRule type="expression" dxfId="307" priority="21" stopIfTrue="1">
      <formula>BW5=3</formula>
    </cfRule>
    <cfRule type="expression" dxfId="306" priority="22" stopIfTrue="1">
      <formula>BW5=2</formula>
    </cfRule>
    <cfRule type="expression" dxfId="305" priority="23" stopIfTrue="1">
      <formula>BW5=1</formula>
    </cfRule>
    <cfRule type="expression" dxfId="304" priority="24" stopIfTrue="1">
      <formula>IF($A5=1,1,IF($A5=7,1,IF(BW$2="Q",IF($A5=2,IF($B5&lt;8,IF(MOD($B$3,3)&lt;&gt;0,1,0),1),1),IF(BW$2="M",IF($A5=2,IF($B5&gt;7,1,0),1),IF(BW$2="W",IF($A5=2,0,1),0)))))</formula>
    </cfRule>
  </conditionalFormatting>
  <conditionalFormatting sqref="DB5:DC35">
    <cfRule type="expression" dxfId="303" priority="17" stopIfTrue="1">
      <formula>DB5=3</formula>
    </cfRule>
    <cfRule type="expression" dxfId="302" priority="18" stopIfTrue="1">
      <formula>DB5=2</formula>
    </cfRule>
    <cfRule type="expression" dxfId="301" priority="19" stopIfTrue="1">
      <formula>DB5=1</formula>
    </cfRule>
    <cfRule type="expression" dxfId="300" priority="20" stopIfTrue="1">
      <formula>IF($A5=1,1,IF($A5=7,1,IF(DB$2="Q",IF($A5=2,IF($B5&lt;8,IF(MOD($B$3,3)&lt;&gt;0,1,0),1),1),IF(DB$2="M",IF($A5=2,IF($B5&gt;7,1,0),1),IF(DB$2="W",IF($A5=2,0,1),0)))))</formula>
    </cfRule>
  </conditionalFormatting>
  <conditionalFormatting sqref="Q5:Q35">
    <cfRule type="expression" dxfId="299" priority="13" stopIfTrue="1">
      <formula>Q5=3</formula>
    </cfRule>
    <cfRule type="expression" dxfId="298" priority="14" stopIfTrue="1">
      <formula>Q5=2</formula>
    </cfRule>
    <cfRule type="expression" dxfId="297" priority="15" stopIfTrue="1">
      <formula>Q5=1</formula>
    </cfRule>
    <cfRule type="expression" dxfId="296" priority="16" stopIfTrue="1">
      <formula>IF($A5=1,1,IF($A5=7,1,IF(Q$2="Q",IF($A5=2,IF($B5&lt;8,IF(MOD($B$3,3)&lt;&gt;0,1,0),1),1),IF(Q$2="M",IF($A5=2,IF($B5&gt;7,1,0),1),IF(Q$2="W",IF($A5=2,0,1),0)))))</formula>
    </cfRule>
  </conditionalFormatting>
  <conditionalFormatting sqref="AV5:AV35">
    <cfRule type="expression" dxfId="295" priority="9" stopIfTrue="1">
      <formula>AV5=3</formula>
    </cfRule>
    <cfRule type="expression" dxfId="294" priority="10" stopIfTrue="1">
      <formula>AV5=2</formula>
    </cfRule>
    <cfRule type="expression" dxfId="293" priority="11" stopIfTrue="1">
      <formula>AV5=1</formula>
    </cfRule>
    <cfRule type="expression" dxfId="292" priority="12" stopIfTrue="1">
      <formula>IF($A5=1,1,IF($A5=7,1,IF(AV$2="Q",IF($A5=2,IF($B5&lt;8,IF(MOD($B$3,3)&lt;&gt;0,1,0),1),1),IF(AV$2="M",IF($A5=2,IF($B5&gt;7,1,0),1),IF(AV$2="W",IF($A5=2,0,1),0)))))</formula>
    </cfRule>
  </conditionalFormatting>
  <conditionalFormatting sqref="CA5:CA35">
    <cfRule type="expression" dxfId="291" priority="5" stopIfTrue="1">
      <formula>CA5=3</formula>
    </cfRule>
    <cfRule type="expression" dxfId="290" priority="6" stopIfTrue="1">
      <formula>CA5=2</formula>
    </cfRule>
    <cfRule type="expression" dxfId="289" priority="7" stopIfTrue="1">
      <formula>CA5=1</formula>
    </cfRule>
    <cfRule type="expression" dxfId="288" priority="8" stopIfTrue="1">
      <formula>IF($A5=1,1,IF($A5=7,1,IF(CA$2="Q",IF($A5=2,IF($B5&lt;8,IF(MOD($B$3,3)&lt;&gt;0,1,0),1),1),IF(CA$2="M",IF($A5=2,IF($B5&gt;7,1,0),1),IF(CA$2="W",IF($A5=2,0,1),0)))))</formula>
    </cfRule>
  </conditionalFormatting>
  <conditionalFormatting sqref="DF5:DF35">
    <cfRule type="expression" dxfId="287" priority="1" stopIfTrue="1">
      <formula>DF5=3</formula>
    </cfRule>
    <cfRule type="expression" dxfId="286" priority="2" stopIfTrue="1">
      <formula>DF5=2</formula>
    </cfRule>
    <cfRule type="expression" dxfId="285" priority="3" stopIfTrue="1">
      <formula>DF5=1</formula>
    </cfRule>
    <cfRule type="expression" dxfId="284" priority="4" stopIfTrue="1">
      <formula>IF($A5=1,1,IF($A5=7,1,IF(DF$2="Q",IF($A5=2,IF($B5&lt;8,IF(MOD($B$3,3)&lt;&gt;0,1,0),1),1),IF(DF$2="M",IF($A5=2,IF($B5&gt;7,1,0),1),IF(DF$2="W",IF($A5=2,0,1),0)))))</formula>
    </cfRule>
  </conditionalFormatting>
  <dataValidations count="4">
    <dataValidation type="list" allowBlank="1" showInputMessage="1" showErrorMessage="1" sqref="BN5:CQ35 D5:AG35 AI5:BL35 CS5:DV35" xr:uid="{238ABD44-46BE-4C09-9B90-C50B4F0464B1}">
      <formula1>Status</formula1>
    </dataValidation>
    <dataValidation type="list" allowBlank="1" showInputMessage="1" showErrorMessage="1" sqref="C3" xr:uid="{5FBE635A-93B8-40EF-8A25-1A0036EF7C3A}">
      <formula1>List_Maanden</formula1>
    </dataValidation>
    <dataValidation type="list" allowBlank="1" showInputMessage="1" showErrorMessage="1" sqref="DW5:DW35 CR5:CR35 BM5:BM35 AH5:AH35" xr:uid="{B5B4E933-81CC-422A-8D06-31BE7EDD4C54}">
      <formula1>List_Personen</formula1>
    </dataValidation>
    <dataValidation type="list" allowBlank="1" showInputMessage="1" showErrorMessage="1" sqref="DB2:DC2 AR2:AS2 BW2:BX2 D2:AG2 AV2 CA2 DF2" xr:uid="{375C3651-38B0-4991-B9F1-911E7D6C8120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FEBEB-1391-4DB2-81FD-629A88E8F925}">
  <sheetPr codeName="Sheet14"/>
  <dimension ref="A1:EK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3.15" x14ac:dyDescent="0.4"/>
  <cols>
    <col min="1" max="1" width="8.796875" style="74" hidden="1" customWidth="1"/>
    <col min="2" max="2" width="4.265625" style="74" hidden="1" customWidth="1"/>
    <col min="3" max="3" width="25.73046875" style="74" bestFit="1" customWidth="1"/>
    <col min="4" max="5" width="3.19921875" style="74" bestFit="1" customWidth="1"/>
    <col min="6" max="8" width="3.19921875" style="74" customWidth="1"/>
    <col min="9" max="10" width="3.19921875" style="74" bestFit="1" customWidth="1"/>
    <col min="11" max="18" width="3.19921875" style="74" customWidth="1"/>
    <col min="19" max="19" width="3.19921875" style="74" bestFit="1" customWidth="1"/>
    <col min="20" max="24" width="3.19921875" style="74" customWidth="1"/>
    <col min="25" max="25" width="3.19921875" style="74" bestFit="1" customWidth="1"/>
    <col min="26" max="32" width="3.19921875" style="74" customWidth="1"/>
    <col min="33" max="33" width="2.73046875" style="74" bestFit="1" customWidth="1"/>
    <col min="34" max="34" width="14" style="74" bestFit="1" customWidth="1"/>
    <col min="35" max="39" width="3.19921875" style="74" bestFit="1" customWidth="1"/>
    <col min="40" max="46" width="3.19921875" style="74" customWidth="1"/>
    <col min="47" max="47" width="3.19921875" style="74" bestFit="1" customWidth="1"/>
    <col min="48" max="48" width="3.19921875" style="74" customWidth="1"/>
    <col min="49" max="49" width="3.19921875" style="74" bestFit="1" customWidth="1"/>
    <col min="50" max="50" width="2.73046875" style="74" bestFit="1" customWidth="1"/>
    <col min="51" max="64" width="2.73046875" style="74" customWidth="1"/>
    <col min="65" max="65" width="14" style="74" bestFit="1" customWidth="1"/>
    <col min="66" max="70" width="3.19921875" style="74" bestFit="1" customWidth="1"/>
    <col min="71" max="77" width="3.19921875" style="74" customWidth="1"/>
    <col min="78" max="78" width="3.19921875" style="74" bestFit="1" customWidth="1"/>
    <col min="79" max="79" width="3.19921875" style="74" customWidth="1"/>
    <col min="80" max="80" width="3.19921875" style="74" bestFit="1" customWidth="1"/>
    <col min="81" max="81" width="2.73046875" style="74" bestFit="1" customWidth="1"/>
    <col min="82" max="95" width="2.73046875" style="74" customWidth="1"/>
    <col min="96" max="96" width="14" style="74" bestFit="1" customWidth="1"/>
    <col min="97" max="102" width="3.19921875" style="74" bestFit="1" customWidth="1"/>
    <col min="103" max="110" width="3.19921875" style="74" customWidth="1"/>
    <col min="111" max="111" width="3.19921875" style="74" bestFit="1" customWidth="1"/>
    <col min="112" max="112" width="2.73046875" style="74" bestFit="1" customWidth="1"/>
    <col min="113" max="126" width="2.73046875" style="74" customWidth="1"/>
    <col min="127" max="127" width="14" style="74" bestFit="1" customWidth="1"/>
    <col min="128" max="128" width="6" style="74" customWidth="1"/>
    <col min="129" max="16384" width="9.06640625" style="74"/>
  </cols>
  <sheetData>
    <row r="1" spans="1:141" ht="18.399999999999999" thickBot="1" x14ac:dyDescent="0.6">
      <c r="C1" s="75" t="s">
        <v>5</v>
      </c>
      <c r="D1" s="76" t="s">
        <v>44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8"/>
      <c r="AI1" s="79" t="s">
        <v>45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1"/>
      <c r="BN1" s="82" t="s">
        <v>46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4"/>
      <c r="CS1" s="85" t="s">
        <v>47</v>
      </c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7"/>
    </row>
    <row r="2" spans="1:141" ht="13.5" thickBot="1" x14ac:dyDescent="0.45">
      <c r="A2" s="74" t="s">
        <v>13</v>
      </c>
      <c r="B2" s="74" t="s">
        <v>14</v>
      </c>
      <c r="C2" s="88" t="s">
        <v>3</v>
      </c>
      <c r="D2" s="89" t="str">
        <f>+Template!D2</f>
        <v>D</v>
      </c>
      <c r="E2" s="90" t="str">
        <f>+Template!E2</f>
        <v>D</v>
      </c>
      <c r="F2" s="90" t="str">
        <f>+Template!F2</f>
        <v>D</v>
      </c>
      <c r="G2" s="90" t="str">
        <f>+Template!G2</f>
        <v>D</v>
      </c>
      <c r="H2" s="90" t="str">
        <f>+Template!H2</f>
        <v>D</v>
      </c>
      <c r="I2" s="91" t="str">
        <f>+Template!I2</f>
        <v>D</v>
      </c>
      <c r="J2" s="91" t="str">
        <f>+Template!J2</f>
        <v>D</v>
      </c>
      <c r="K2" s="91" t="str">
        <f>+Template!K2</f>
        <v>D</v>
      </c>
      <c r="L2" s="91" t="str">
        <f>+Template!L2</f>
        <v>D</v>
      </c>
      <c r="M2" s="91" t="s">
        <v>2</v>
      </c>
      <c r="N2" s="91" t="s">
        <v>2</v>
      </c>
      <c r="O2" s="91" t="str">
        <f>+Template!O2</f>
        <v>D</v>
      </c>
      <c r="P2" s="91" t="str">
        <f>+Template!P2</f>
        <v>D</v>
      </c>
      <c r="Q2" s="91" t="s">
        <v>2</v>
      </c>
      <c r="R2" s="91" t="str">
        <f>+Template!R2</f>
        <v>D</v>
      </c>
      <c r="S2" s="91" t="str">
        <f>+Template!S2</f>
        <v>D</v>
      </c>
      <c r="T2" s="91" t="str">
        <f>+Template!T2</f>
        <v>D</v>
      </c>
      <c r="U2" s="91" t="str">
        <f>+Template!U2</f>
        <v>D</v>
      </c>
      <c r="V2" s="91" t="str">
        <f>+Template!V2</f>
        <v>D</v>
      </c>
      <c r="W2" s="91" t="str">
        <f>+Template!W2</f>
        <v>D</v>
      </c>
      <c r="X2" s="91" t="str">
        <f>+Template!X2</f>
        <v>W</v>
      </c>
      <c r="Y2" s="91" t="str">
        <f>+Template!Y2</f>
        <v>W</v>
      </c>
      <c r="Z2" s="91" t="str">
        <f>+Template!Z2</f>
        <v>W</v>
      </c>
      <c r="AA2" s="91" t="str">
        <f>+Template!AA2</f>
        <v>W</v>
      </c>
      <c r="AB2" s="91" t="str">
        <f>+Template!AB2</f>
        <v>M</v>
      </c>
      <c r="AC2" s="91" t="str">
        <f>+Template!AC2</f>
        <v>M</v>
      </c>
      <c r="AD2" s="91" t="str">
        <f>+Template!AD2</f>
        <v>M</v>
      </c>
      <c r="AE2" s="91" t="str">
        <f>+Template!AE2</f>
        <v>M</v>
      </c>
      <c r="AF2" s="91" t="str">
        <f>+Template!AF2</f>
        <v>Q</v>
      </c>
      <c r="AG2" s="91" t="str">
        <f>+Template!AG2</f>
        <v>Q</v>
      </c>
      <c r="AH2" s="92"/>
      <c r="AI2" s="89" t="str">
        <f>+Template!D2</f>
        <v>D</v>
      </c>
      <c r="AJ2" s="90" t="str">
        <f>+Template!E2</f>
        <v>D</v>
      </c>
      <c r="AK2" s="90" t="str">
        <f>+Template!F2</f>
        <v>D</v>
      </c>
      <c r="AL2" s="90" t="str">
        <f>+Template!G2</f>
        <v>D</v>
      </c>
      <c r="AM2" s="90" t="str">
        <f>+Template!H2</f>
        <v>D</v>
      </c>
      <c r="AN2" s="90" t="str">
        <f>+Template!I2</f>
        <v>D</v>
      </c>
      <c r="AO2" s="90" t="str">
        <f>+Template!J2</f>
        <v>D</v>
      </c>
      <c r="AP2" s="90" t="str">
        <f>+Template!K2</f>
        <v>D</v>
      </c>
      <c r="AQ2" s="90" t="str">
        <f>+Template!L2</f>
        <v>D</v>
      </c>
      <c r="AR2" s="91" t="s">
        <v>2</v>
      </c>
      <c r="AS2" s="91" t="s">
        <v>2</v>
      </c>
      <c r="AT2" s="90" t="str">
        <f>+Template!O2</f>
        <v>D</v>
      </c>
      <c r="AU2" s="91" t="str">
        <f>+Template!P2</f>
        <v>D</v>
      </c>
      <c r="AV2" s="91" t="s">
        <v>2</v>
      </c>
      <c r="AW2" s="91" t="str">
        <f>+Template!R2</f>
        <v>D</v>
      </c>
      <c r="AX2" s="91" t="str">
        <f>+Template!S2</f>
        <v>D</v>
      </c>
      <c r="AY2" s="91" t="str">
        <f>+Template!T2</f>
        <v>D</v>
      </c>
      <c r="AZ2" s="91" t="str">
        <f>+Template!U2</f>
        <v>D</v>
      </c>
      <c r="BA2" s="91" t="str">
        <f>+Template!V2</f>
        <v>D</v>
      </c>
      <c r="BB2" s="91" t="str">
        <f>+Template!W2</f>
        <v>D</v>
      </c>
      <c r="BC2" s="91" t="str">
        <f>+Template!X2</f>
        <v>W</v>
      </c>
      <c r="BD2" s="91" t="str">
        <f>+Template!Y2</f>
        <v>W</v>
      </c>
      <c r="BE2" s="91" t="str">
        <f>+Template!Z2</f>
        <v>W</v>
      </c>
      <c r="BF2" s="91" t="str">
        <f>+Template!AA2</f>
        <v>W</v>
      </c>
      <c r="BG2" s="91" t="str">
        <f>+Template!AB2</f>
        <v>M</v>
      </c>
      <c r="BH2" s="91" t="str">
        <f>+Template!AC2</f>
        <v>M</v>
      </c>
      <c r="BI2" s="91" t="str">
        <f>+Template!AD2</f>
        <v>M</v>
      </c>
      <c r="BJ2" s="91" t="str">
        <f>+Template!AE2</f>
        <v>M</v>
      </c>
      <c r="BK2" s="91" t="str">
        <f>+Template!AF2</f>
        <v>Q</v>
      </c>
      <c r="BL2" s="91" t="str">
        <f>+Template!AG2</f>
        <v>Q</v>
      </c>
      <c r="BM2" s="92"/>
      <c r="BN2" s="89" t="str">
        <f>+Template!D2</f>
        <v>D</v>
      </c>
      <c r="BO2" s="90" t="str">
        <f>+Template!E2</f>
        <v>D</v>
      </c>
      <c r="BP2" s="90" t="str">
        <f>+Template!F2</f>
        <v>D</v>
      </c>
      <c r="BQ2" s="90" t="str">
        <f>+Template!G2</f>
        <v>D</v>
      </c>
      <c r="BR2" s="90" t="str">
        <f>+Template!H2</f>
        <v>D</v>
      </c>
      <c r="BS2" s="90" t="str">
        <f>+Template!I2</f>
        <v>D</v>
      </c>
      <c r="BT2" s="90" t="str">
        <f>+Template!J2</f>
        <v>D</v>
      </c>
      <c r="BU2" s="90" t="str">
        <f>+Template!K2</f>
        <v>D</v>
      </c>
      <c r="BV2" s="90" t="str">
        <f>+Template!L2</f>
        <v>D</v>
      </c>
      <c r="BW2" s="91" t="s">
        <v>2</v>
      </c>
      <c r="BX2" s="91" t="s">
        <v>2</v>
      </c>
      <c r="BY2" s="90" t="str">
        <f>+Template!O2</f>
        <v>D</v>
      </c>
      <c r="BZ2" s="91" t="str">
        <f>+Template!P2</f>
        <v>D</v>
      </c>
      <c r="CA2" s="91" t="s">
        <v>2</v>
      </c>
      <c r="CB2" s="91" t="str">
        <f>+Template!R2</f>
        <v>D</v>
      </c>
      <c r="CC2" s="91" t="str">
        <f>+Template!S2</f>
        <v>D</v>
      </c>
      <c r="CD2" s="91" t="str">
        <f>+Template!T2</f>
        <v>D</v>
      </c>
      <c r="CE2" s="91" t="str">
        <f>+Template!U2</f>
        <v>D</v>
      </c>
      <c r="CF2" s="91" t="str">
        <f>+Template!V2</f>
        <v>D</v>
      </c>
      <c r="CG2" s="91" t="str">
        <f>+Template!W2</f>
        <v>D</v>
      </c>
      <c r="CH2" s="91" t="str">
        <f>+Template!X2</f>
        <v>W</v>
      </c>
      <c r="CI2" s="91" t="str">
        <f>+Template!Y2</f>
        <v>W</v>
      </c>
      <c r="CJ2" s="91" t="str">
        <f>+Template!Z2</f>
        <v>W</v>
      </c>
      <c r="CK2" s="91" t="str">
        <f>+Template!AA2</f>
        <v>W</v>
      </c>
      <c r="CL2" s="91" t="str">
        <f>+Template!AB2</f>
        <v>M</v>
      </c>
      <c r="CM2" s="91" t="str">
        <f>+Template!AC2</f>
        <v>M</v>
      </c>
      <c r="CN2" s="91" t="str">
        <f>+Template!AD2</f>
        <v>M</v>
      </c>
      <c r="CO2" s="91" t="str">
        <f>+Template!AE2</f>
        <v>M</v>
      </c>
      <c r="CP2" s="91" t="str">
        <f>+Template!AF2</f>
        <v>Q</v>
      </c>
      <c r="CQ2" s="91" t="str">
        <f>+Template!AG2</f>
        <v>Q</v>
      </c>
      <c r="CR2" s="92"/>
      <c r="CS2" s="89" t="str">
        <f>+Template!D2</f>
        <v>D</v>
      </c>
      <c r="CT2" s="90" t="str">
        <f>+Template!E2</f>
        <v>D</v>
      </c>
      <c r="CU2" s="90" t="str">
        <f>+Template!F2</f>
        <v>D</v>
      </c>
      <c r="CV2" s="90" t="str">
        <f>+Template!G2</f>
        <v>D</v>
      </c>
      <c r="CW2" s="90" t="str">
        <f>+Template!H2</f>
        <v>D</v>
      </c>
      <c r="CX2" s="91" t="str">
        <f>+Template!I2</f>
        <v>D</v>
      </c>
      <c r="CY2" s="91" t="str">
        <f>+Template!J2</f>
        <v>D</v>
      </c>
      <c r="CZ2" s="91" t="str">
        <f>+Template!K2</f>
        <v>D</v>
      </c>
      <c r="DA2" s="91" t="str">
        <f>+Template!L2</f>
        <v>D</v>
      </c>
      <c r="DB2" s="91" t="s">
        <v>2</v>
      </c>
      <c r="DC2" s="91" t="s">
        <v>2</v>
      </c>
      <c r="DD2" s="91" t="str">
        <f>+Template!O2</f>
        <v>D</v>
      </c>
      <c r="DE2" s="91" t="str">
        <f>+Template!P2</f>
        <v>D</v>
      </c>
      <c r="DF2" s="91" t="s">
        <v>2</v>
      </c>
      <c r="DG2" s="91" t="str">
        <f>+Template!R2</f>
        <v>D</v>
      </c>
      <c r="DH2" s="91" t="str">
        <f>+Template!S2</f>
        <v>D</v>
      </c>
      <c r="DI2" s="91" t="str">
        <f>+Template!T2</f>
        <v>D</v>
      </c>
      <c r="DJ2" s="91" t="str">
        <f>+Template!U2</f>
        <v>D</v>
      </c>
      <c r="DK2" s="91" t="str">
        <f>+Template!V2</f>
        <v>D</v>
      </c>
      <c r="DL2" s="91" t="str">
        <f>+Template!W2</f>
        <v>D</v>
      </c>
      <c r="DM2" s="91" t="str">
        <f>+Template!X2</f>
        <v>W</v>
      </c>
      <c r="DN2" s="91" t="str">
        <f>+Template!Y2</f>
        <v>W</v>
      </c>
      <c r="DO2" s="91" t="str">
        <f>+Template!Z2</f>
        <v>W</v>
      </c>
      <c r="DP2" s="91" t="str">
        <f>+Template!AA2</f>
        <v>W</v>
      </c>
      <c r="DQ2" s="91" t="str">
        <f>+Template!AB2</f>
        <v>M</v>
      </c>
      <c r="DR2" s="91" t="str">
        <f>+Template!AC2</f>
        <v>M</v>
      </c>
      <c r="DS2" s="91" t="str">
        <f>+Template!AD2</f>
        <v>M</v>
      </c>
      <c r="DT2" s="91" t="str">
        <f>+Template!AE2</f>
        <v>M</v>
      </c>
      <c r="DU2" s="91" t="str">
        <f>+Template!AF2</f>
        <v>Q</v>
      </c>
      <c r="DV2" s="91" t="str">
        <f>+Template!AG2</f>
        <v>Q</v>
      </c>
      <c r="DW2" s="92"/>
    </row>
    <row r="3" spans="1:141" ht="150" x14ac:dyDescent="0.4">
      <c r="B3" s="74">
        <f>VLOOKUP(C3,Data!E2:F13,2,FALSE)</f>
        <v>6</v>
      </c>
      <c r="C3" s="93" t="s">
        <v>61</v>
      </c>
      <c r="D3" s="94" t="str">
        <f>+Template!D3</f>
        <v>Quick environment check</v>
      </c>
      <c r="E3" s="95" t="str">
        <f>+Template!E3</f>
        <v>Health Analyzer Issues</v>
      </c>
      <c r="F3" s="95" t="str">
        <f>+Template!F3</f>
        <v>Content Database Status</v>
      </c>
      <c r="G3" s="95" t="str">
        <f>+Template!G3</f>
        <v>Upgrade Status Servers</v>
      </c>
      <c r="H3" s="95" t="str">
        <f>+Template!H3</f>
        <v>Upgrade Status Databases</v>
      </c>
      <c r="I3" s="95" t="str">
        <f>+Template!I3</f>
        <v>Failed Timer Jobs</v>
      </c>
      <c r="J3" s="95" t="str">
        <f>+Template!J3</f>
        <v>Deployment Status Solutions</v>
      </c>
      <c r="K3" s="95" t="str">
        <f>+Template!K3</f>
        <v>Content Database Size</v>
      </c>
      <c r="L3" s="95" t="str">
        <f>+Template!L3</f>
        <v>Service Application Status</v>
      </c>
      <c r="M3" s="95" t="s">
        <v>98</v>
      </c>
      <c r="N3" s="95" t="s">
        <v>99</v>
      </c>
      <c r="O3" s="95" t="str">
        <f>+Template!O3</f>
        <v>Search Topology</v>
      </c>
      <c r="P3" s="95" t="str">
        <f>+Template!P3</f>
        <v>Search Gatherer Logs</v>
      </c>
      <c r="Q3" s="95" t="s">
        <v>100</v>
      </c>
      <c r="R3" s="95" t="str">
        <f>+Template!R3</f>
        <v>Last Boot Time</v>
      </c>
      <c r="S3" s="95" t="str">
        <f>+Template!S3</f>
        <v>Running Services Check</v>
      </c>
      <c r="T3" s="95" t="str">
        <f>+Template!T3</f>
        <v>Scheduled Tasks</v>
      </c>
      <c r="U3" s="95" t="str">
        <f>+Template!U3</f>
        <v>Running websites en application pools</v>
      </c>
      <c r="V3" s="95" t="str">
        <f>+Template!V3</f>
        <v>Group Membership Check</v>
      </c>
      <c r="W3" s="95" t="str">
        <f>+Template!W3</f>
        <v>Backup Status</v>
      </c>
      <c r="X3" s="95" t="str">
        <f>+Template!X3</f>
        <v>Permissions Check</v>
      </c>
      <c r="Y3" s="95" t="str">
        <f>+Template!Y3</f>
        <v>New Updates</v>
      </c>
      <c r="Z3" s="95" t="str">
        <f>+Template!Z3</f>
        <v>Baseline Settings</v>
      </c>
      <c r="AA3" s="95" t="str">
        <f>+Template!AA3</f>
        <v>Access Check</v>
      </c>
      <c r="AB3" s="95" t="str">
        <f>+Template!AB3</f>
        <v>Missing Security Updates/Service Packs</v>
      </c>
      <c r="AC3" s="95" t="str">
        <f>+Template!AC3</f>
        <v>Policy Compliance</v>
      </c>
      <c r="AD3" s="95" t="str">
        <f>+Template!AD3</f>
        <v>Documentation Check</v>
      </c>
      <c r="AE3" s="95" t="str">
        <f>+Template!AE3</f>
        <v>SSL Certificates Check</v>
      </c>
      <c r="AF3" s="95" t="str">
        <f>+Template!AF3</f>
        <v>Disaster Recovery Test</v>
      </c>
      <c r="AG3" s="95" t="str">
        <f>+Template!AG3</f>
        <v>Lifecycle Check</v>
      </c>
      <c r="AH3" s="96" t="str">
        <f>+Template!AH3</f>
        <v>Performed by:</v>
      </c>
      <c r="AI3" s="94" t="str">
        <f>+Template!D3</f>
        <v>Quick environment check</v>
      </c>
      <c r="AJ3" s="95" t="str">
        <f>+Template!E3</f>
        <v>Health Analyzer Issues</v>
      </c>
      <c r="AK3" s="95" t="str">
        <f>+Template!F3</f>
        <v>Content Database Status</v>
      </c>
      <c r="AL3" s="95" t="str">
        <f>+Template!G3</f>
        <v>Upgrade Status Servers</v>
      </c>
      <c r="AM3" s="95" t="str">
        <f>+Template!H3</f>
        <v>Upgrade Status Databases</v>
      </c>
      <c r="AN3" s="95" t="str">
        <f>+Template!I3</f>
        <v>Failed Timer Jobs</v>
      </c>
      <c r="AO3" s="95" t="str">
        <f>+Template!J3</f>
        <v>Deployment Status Solutions</v>
      </c>
      <c r="AP3" s="95" t="str">
        <f>+Template!K3</f>
        <v>Content Database Size</v>
      </c>
      <c r="AQ3" s="95" t="str">
        <f>+Template!L3</f>
        <v>Service Application Status</v>
      </c>
      <c r="AR3" s="95" t="s">
        <v>98</v>
      </c>
      <c r="AS3" s="95" t="s">
        <v>99</v>
      </c>
      <c r="AT3" s="95" t="str">
        <f>+Template!O3</f>
        <v>Search Topology</v>
      </c>
      <c r="AU3" s="95" t="str">
        <f>+Template!P3</f>
        <v>Search Gatherer Logs</v>
      </c>
      <c r="AV3" s="95" t="s">
        <v>100</v>
      </c>
      <c r="AW3" s="95" t="str">
        <f>+Template!R3</f>
        <v>Last Boot Time</v>
      </c>
      <c r="AX3" s="95" t="str">
        <f>+Template!S3</f>
        <v>Running Services Check</v>
      </c>
      <c r="AY3" s="95" t="str">
        <f>+Template!T3</f>
        <v>Scheduled Tasks</v>
      </c>
      <c r="AZ3" s="95" t="str">
        <f>+Template!U3</f>
        <v>Running websites en application pools</v>
      </c>
      <c r="BA3" s="95" t="str">
        <f>+Template!V3</f>
        <v>Group Membership Check</v>
      </c>
      <c r="BB3" s="95" t="str">
        <f>+Template!W3</f>
        <v>Backup Status</v>
      </c>
      <c r="BC3" s="95" t="str">
        <f>+Template!X3</f>
        <v>Permissions Check</v>
      </c>
      <c r="BD3" s="95" t="str">
        <f>+Template!Y3</f>
        <v>New Updates</v>
      </c>
      <c r="BE3" s="95" t="str">
        <f>+Template!Z3</f>
        <v>Baseline Settings</v>
      </c>
      <c r="BF3" s="95" t="str">
        <f>+Template!AA3</f>
        <v>Access Check</v>
      </c>
      <c r="BG3" s="95" t="str">
        <f>+Template!AB3</f>
        <v>Missing Security Updates/Service Packs</v>
      </c>
      <c r="BH3" s="95" t="str">
        <f>+Template!AC3</f>
        <v>Policy Compliance</v>
      </c>
      <c r="BI3" s="95" t="str">
        <f>+Template!AD3</f>
        <v>Documentation Check</v>
      </c>
      <c r="BJ3" s="95" t="str">
        <f>+Template!AE3</f>
        <v>SSL Certificates Check</v>
      </c>
      <c r="BK3" s="95" t="str">
        <f>+Template!AF3</f>
        <v>Disaster Recovery Test</v>
      </c>
      <c r="BL3" s="95" t="str">
        <f>+Template!AG3</f>
        <v>Lifecycle Check</v>
      </c>
      <c r="BM3" s="96" t="str">
        <f>+Template!AH3</f>
        <v>Performed by:</v>
      </c>
      <c r="BN3" s="94" t="str">
        <f>+Template!D3</f>
        <v>Quick environment check</v>
      </c>
      <c r="BO3" s="95" t="str">
        <f>+Template!E3</f>
        <v>Health Analyzer Issues</v>
      </c>
      <c r="BP3" s="95" t="str">
        <f>+Template!F3</f>
        <v>Content Database Status</v>
      </c>
      <c r="BQ3" s="95" t="str">
        <f>+Template!G3</f>
        <v>Upgrade Status Servers</v>
      </c>
      <c r="BR3" s="95" t="str">
        <f>+Template!H3</f>
        <v>Upgrade Status Databases</v>
      </c>
      <c r="BS3" s="95" t="str">
        <f>+Template!I3</f>
        <v>Failed Timer Jobs</v>
      </c>
      <c r="BT3" s="95" t="str">
        <f>+Template!J3</f>
        <v>Deployment Status Solutions</v>
      </c>
      <c r="BU3" s="95" t="str">
        <f>+Template!K3</f>
        <v>Content Database Size</v>
      </c>
      <c r="BV3" s="95" t="str">
        <f>+Template!L3</f>
        <v>Service Application Status</v>
      </c>
      <c r="BW3" s="95" t="s">
        <v>98</v>
      </c>
      <c r="BX3" s="95" t="s">
        <v>99</v>
      </c>
      <c r="BY3" s="95" t="str">
        <f>+Template!O3</f>
        <v>Search Topology</v>
      </c>
      <c r="BZ3" s="95" t="str">
        <f>+Template!P3</f>
        <v>Search Gatherer Logs</v>
      </c>
      <c r="CA3" s="95" t="s">
        <v>100</v>
      </c>
      <c r="CB3" s="95" t="str">
        <f>+Template!R3</f>
        <v>Last Boot Time</v>
      </c>
      <c r="CC3" s="95" t="str">
        <f>+Template!S3</f>
        <v>Running Services Check</v>
      </c>
      <c r="CD3" s="95" t="str">
        <f>+Template!T3</f>
        <v>Scheduled Tasks</v>
      </c>
      <c r="CE3" s="95" t="str">
        <f>+Template!U3</f>
        <v>Running websites en application pools</v>
      </c>
      <c r="CF3" s="95" t="str">
        <f>+Template!V3</f>
        <v>Group Membership Check</v>
      </c>
      <c r="CG3" s="95" t="str">
        <f>+Template!W3</f>
        <v>Backup Status</v>
      </c>
      <c r="CH3" s="95" t="str">
        <f>+Template!X3</f>
        <v>Permissions Check</v>
      </c>
      <c r="CI3" s="95" t="str">
        <f>+Template!Y3</f>
        <v>New Updates</v>
      </c>
      <c r="CJ3" s="95" t="str">
        <f>+Template!Z3</f>
        <v>Baseline Settings</v>
      </c>
      <c r="CK3" s="95" t="str">
        <f>+Template!AA3</f>
        <v>Access Check</v>
      </c>
      <c r="CL3" s="95" t="str">
        <f>+Template!AB3</f>
        <v>Missing Security Updates/Service Packs</v>
      </c>
      <c r="CM3" s="95" t="str">
        <f>+Template!AC3</f>
        <v>Policy Compliance</v>
      </c>
      <c r="CN3" s="95" t="str">
        <f>+Template!AD3</f>
        <v>Documentation Check</v>
      </c>
      <c r="CO3" s="95" t="str">
        <f>+Template!AE3</f>
        <v>SSL Certificates Check</v>
      </c>
      <c r="CP3" s="95" t="str">
        <f>+Template!AF3</f>
        <v>Disaster Recovery Test</v>
      </c>
      <c r="CQ3" s="95" t="str">
        <f>+Template!AG3</f>
        <v>Lifecycle Check</v>
      </c>
      <c r="CR3" s="96" t="str">
        <f>+Template!AH3</f>
        <v>Performed by:</v>
      </c>
      <c r="CS3" s="94" t="str">
        <f>+Template!D3</f>
        <v>Quick environment check</v>
      </c>
      <c r="CT3" s="95" t="str">
        <f>+Template!E3</f>
        <v>Health Analyzer Issues</v>
      </c>
      <c r="CU3" s="95" t="str">
        <f>+Template!F3</f>
        <v>Content Database Status</v>
      </c>
      <c r="CV3" s="95" t="str">
        <f>+Template!G3</f>
        <v>Upgrade Status Servers</v>
      </c>
      <c r="CW3" s="95" t="str">
        <f>+Template!H3</f>
        <v>Upgrade Status Databases</v>
      </c>
      <c r="CX3" s="95" t="str">
        <f>+Template!I3</f>
        <v>Failed Timer Jobs</v>
      </c>
      <c r="CY3" s="95" t="str">
        <f>+Template!J3</f>
        <v>Deployment Status Solutions</v>
      </c>
      <c r="CZ3" s="95" t="str">
        <f>+Template!K3</f>
        <v>Content Database Size</v>
      </c>
      <c r="DA3" s="95" t="str">
        <f>+Template!L3</f>
        <v>Service Application Status</v>
      </c>
      <c r="DB3" s="95" t="s">
        <v>98</v>
      </c>
      <c r="DC3" s="95" t="s">
        <v>99</v>
      </c>
      <c r="DD3" s="95" t="str">
        <f>+Template!O3</f>
        <v>Search Topology</v>
      </c>
      <c r="DE3" s="95" t="str">
        <f>+Template!P3</f>
        <v>Search Gatherer Logs</v>
      </c>
      <c r="DF3" s="95" t="s">
        <v>100</v>
      </c>
      <c r="DG3" s="95" t="str">
        <f>+Template!R3</f>
        <v>Last Boot Time</v>
      </c>
      <c r="DH3" s="95" t="str">
        <f>+Template!S3</f>
        <v>Running Services Check</v>
      </c>
      <c r="DI3" s="95" t="str">
        <f>+Template!T3</f>
        <v>Scheduled Tasks</v>
      </c>
      <c r="DJ3" s="95" t="str">
        <f>+Template!U3</f>
        <v>Running websites en application pools</v>
      </c>
      <c r="DK3" s="95" t="str">
        <f>+Template!V3</f>
        <v>Group Membership Check</v>
      </c>
      <c r="DL3" s="95" t="str">
        <f>+Template!W3</f>
        <v>Backup Status</v>
      </c>
      <c r="DM3" s="95" t="str">
        <f>+Template!X3</f>
        <v>Permissions Check</v>
      </c>
      <c r="DN3" s="95" t="str">
        <f>+Template!Y3</f>
        <v>New Updates</v>
      </c>
      <c r="DO3" s="95" t="str">
        <f>+Template!Z3</f>
        <v>Baseline Settings</v>
      </c>
      <c r="DP3" s="95" t="str">
        <f>+Template!AA3</f>
        <v>Access Check</v>
      </c>
      <c r="DQ3" s="95" t="str">
        <f>+Template!AB3</f>
        <v>Missing Security Updates/Service Packs</v>
      </c>
      <c r="DR3" s="95" t="str">
        <f>+Template!AC3</f>
        <v>Policy Compliance</v>
      </c>
      <c r="DS3" s="95" t="str">
        <f>+Template!AD3</f>
        <v>Documentation Check</v>
      </c>
      <c r="DT3" s="95" t="str">
        <f>+Template!AE3</f>
        <v>SSL Certificates Check</v>
      </c>
      <c r="DU3" s="95" t="str">
        <f>+Template!AF3</f>
        <v>Disaster Recovery Test</v>
      </c>
      <c r="DV3" s="95" t="str">
        <f>+Template!AG3</f>
        <v>Lifecycle Check</v>
      </c>
      <c r="DW3" s="96" t="str">
        <f>+Template!AH3</f>
        <v>Performed by:</v>
      </c>
      <c r="DX3" s="125"/>
      <c r="DY3" s="126"/>
      <c r="DZ3" s="126"/>
      <c r="EA3" s="126"/>
    </row>
    <row r="4" spans="1:141" ht="23.25" customHeight="1" thickBot="1" x14ac:dyDescent="0.45">
      <c r="C4" s="97">
        <f>Jaartal</f>
        <v>2020</v>
      </c>
      <c r="D4" s="94">
        <f>+Template!D4</f>
        <v>1</v>
      </c>
      <c r="E4" s="95">
        <f>+Template!E4</f>
        <v>10</v>
      </c>
      <c r="F4" s="95">
        <f>+Template!F4</f>
        <v>11</v>
      </c>
      <c r="G4" s="95">
        <f>+Template!G4</f>
        <v>12</v>
      </c>
      <c r="H4" s="95">
        <f>+Template!H4</f>
        <v>13</v>
      </c>
      <c r="I4" s="95">
        <f>+Template!I4</f>
        <v>14</v>
      </c>
      <c r="J4" s="95">
        <f>+Template!J4</f>
        <v>15</v>
      </c>
      <c r="K4" s="95">
        <f>+Template!K4</f>
        <v>16</v>
      </c>
      <c r="L4" s="95">
        <f>+Template!L4</f>
        <v>17</v>
      </c>
      <c r="M4" s="95">
        <v>18</v>
      </c>
      <c r="N4" s="95">
        <v>19</v>
      </c>
      <c r="O4" s="95">
        <f>+Template!O4</f>
        <v>20</v>
      </c>
      <c r="P4" s="95">
        <f>+Template!P4</f>
        <v>21</v>
      </c>
      <c r="Q4" s="95">
        <v>22</v>
      </c>
      <c r="R4" s="95">
        <f>+Template!R4</f>
        <v>30</v>
      </c>
      <c r="S4" s="95">
        <f>+Template!S4</f>
        <v>31</v>
      </c>
      <c r="T4" s="95">
        <f>+Template!T4</f>
        <v>32</v>
      </c>
      <c r="U4" s="95">
        <f>+Template!U4</f>
        <v>33</v>
      </c>
      <c r="V4" s="95">
        <f>+Template!V4</f>
        <v>34</v>
      </c>
      <c r="W4" s="95">
        <f>+Template!W4</f>
        <v>40</v>
      </c>
      <c r="X4" s="95" t="str">
        <f>+Template!X4</f>
        <v>W01</v>
      </c>
      <c r="Y4" s="95" t="str">
        <f>+Template!Y4</f>
        <v>W02</v>
      </c>
      <c r="Z4" s="95" t="str">
        <f>+Template!Z4</f>
        <v>W03</v>
      </c>
      <c r="AA4" s="95" t="str">
        <f>+Template!AA4</f>
        <v>W04</v>
      </c>
      <c r="AB4" s="95" t="str">
        <f>+Template!AB4</f>
        <v>M01</v>
      </c>
      <c r="AC4" s="95" t="str">
        <f>+Template!AC4</f>
        <v>M02</v>
      </c>
      <c r="AD4" s="95" t="str">
        <f>+Template!AD4</f>
        <v>M03</v>
      </c>
      <c r="AE4" s="95" t="str">
        <f>+Template!AE4</f>
        <v>M04</v>
      </c>
      <c r="AF4" s="95" t="str">
        <f>+Template!AF4</f>
        <v>Q01</v>
      </c>
      <c r="AG4" s="95" t="str">
        <f>+Template!AG4</f>
        <v>Q02</v>
      </c>
      <c r="AH4" s="98"/>
      <c r="AI4" s="94">
        <f>+Template!D4</f>
        <v>1</v>
      </c>
      <c r="AJ4" s="95">
        <f>+Template!E4</f>
        <v>10</v>
      </c>
      <c r="AK4" s="95">
        <f>+Template!F4</f>
        <v>11</v>
      </c>
      <c r="AL4" s="95">
        <f>+Template!G4</f>
        <v>12</v>
      </c>
      <c r="AM4" s="95">
        <f>+Template!H4</f>
        <v>13</v>
      </c>
      <c r="AN4" s="95">
        <f>+Template!I4</f>
        <v>14</v>
      </c>
      <c r="AO4" s="95">
        <f>+Template!J4</f>
        <v>15</v>
      </c>
      <c r="AP4" s="95">
        <f>+Template!K4</f>
        <v>16</v>
      </c>
      <c r="AQ4" s="95">
        <f>+Template!L4</f>
        <v>17</v>
      </c>
      <c r="AR4" s="95">
        <v>18</v>
      </c>
      <c r="AS4" s="95">
        <v>19</v>
      </c>
      <c r="AT4" s="95">
        <f>+Template!O4</f>
        <v>20</v>
      </c>
      <c r="AU4" s="95">
        <f>+Template!P4</f>
        <v>21</v>
      </c>
      <c r="AV4" s="95">
        <v>22</v>
      </c>
      <c r="AW4" s="95">
        <f>+Template!R4</f>
        <v>30</v>
      </c>
      <c r="AX4" s="95">
        <f>+Template!S4</f>
        <v>31</v>
      </c>
      <c r="AY4" s="95">
        <f>+Template!T4</f>
        <v>32</v>
      </c>
      <c r="AZ4" s="95">
        <f>+Template!U4</f>
        <v>33</v>
      </c>
      <c r="BA4" s="95">
        <f>+Template!V4</f>
        <v>34</v>
      </c>
      <c r="BB4" s="95">
        <f>+Template!W4</f>
        <v>40</v>
      </c>
      <c r="BC4" s="95" t="str">
        <f>+Template!X4</f>
        <v>W01</v>
      </c>
      <c r="BD4" s="95" t="str">
        <f>+Template!Y4</f>
        <v>W02</v>
      </c>
      <c r="BE4" s="95" t="str">
        <f>+Template!Z4</f>
        <v>W03</v>
      </c>
      <c r="BF4" s="95" t="str">
        <f>+Template!AA4</f>
        <v>W04</v>
      </c>
      <c r="BG4" s="95" t="str">
        <f>+Template!AB4</f>
        <v>M01</v>
      </c>
      <c r="BH4" s="95" t="str">
        <f>+Template!AC4</f>
        <v>M02</v>
      </c>
      <c r="BI4" s="95" t="str">
        <f>+Template!AD4</f>
        <v>M03</v>
      </c>
      <c r="BJ4" s="95" t="str">
        <f>+Template!AE4</f>
        <v>M04</v>
      </c>
      <c r="BK4" s="95" t="str">
        <f>+Template!AF4</f>
        <v>Q01</v>
      </c>
      <c r="BL4" s="95" t="str">
        <f>+Template!AG4</f>
        <v>Q02</v>
      </c>
      <c r="BM4" s="98"/>
      <c r="BN4" s="94">
        <f>+Template!D4</f>
        <v>1</v>
      </c>
      <c r="BO4" s="95">
        <f>+Template!E4</f>
        <v>10</v>
      </c>
      <c r="BP4" s="95">
        <f>+Template!F4</f>
        <v>11</v>
      </c>
      <c r="BQ4" s="95">
        <f>+Template!G4</f>
        <v>12</v>
      </c>
      <c r="BR4" s="95">
        <f>+Template!H4</f>
        <v>13</v>
      </c>
      <c r="BS4" s="95">
        <f>+Template!I4</f>
        <v>14</v>
      </c>
      <c r="BT4" s="95">
        <f>+Template!J4</f>
        <v>15</v>
      </c>
      <c r="BU4" s="95">
        <f>+Template!K4</f>
        <v>16</v>
      </c>
      <c r="BV4" s="95">
        <f>+Template!L4</f>
        <v>17</v>
      </c>
      <c r="BW4" s="95">
        <v>18</v>
      </c>
      <c r="BX4" s="95">
        <v>19</v>
      </c>
      <c r="BY4" s="95">
        <f>+Template!O4</f>
        <v>20</v>
      </c>
      <c r="BZ4" s="95">
        <f>+Template!P4</f>
        <v>21</v>
      </c>
      <c r="CA4" s="95">
        <v>22</v>
      </c>
      <c r="CB4" s="95">
        <f>+Template!R4</f>
        <v>30</v>
      </c>
      <c r="CC4" s="95">
        <f>+Template!S4</f>
        <v>31</v>
      </c>
      <c r="CD4" s="95">
        <f>+Template!T4</f>
        <v>32</v>
      </c>
      <c r="CE4" s="95">
        <f>+Template!U4</f>
        <v>33</v>
      </c>
      <c r="CF4" s="95">
        <f>+Template!V4</f>
        <v>34</v>
      </c>
      <c r="CG4" s="95">
        <f>+Template!W4</f>
        <v>40</v>
      </c>
      <c r="CH4" s="95" t="str">
        <f>+Template!X4</f>
        <v>W01</v>
      </c>
      <c r="CI4" s="95" t="str">
        <f>+Template!Y4</f>
        <v>W02</v>
      </c>
      <c r="CJ4" s="95" t="str">
        <f>+Template!Z4</f>
        <v>W03</v>
      </c>
      <c r="CK4" s="95" t="str">
        <f>+Template!AA4</f>
        <v>W04</v>
      </c>
      <c r="CL4" s="95" t="str">
        <f>+Template!AB4</f>
        <v>M01</v>
      </c>
      <c r="CM4" s="95" t="str">
        <f>+Template!AC4</f>
        <v>M02</v>
      </c>
      <c r="CN4" s="95" t="str">
        <f>+Template!AD4</f>
        <v>M03</v>
      </c>
      <c r="CO4" s="95" t="str">
        <f>+Template!AE4</f>
        <v>M04</v>
      </c>
      <c r="CP4" s="95" t="str">
        <f>+Template!AF4</f>
        <v>Q01</v>
      </c>
      <c r="CQ4" s="95" t="str">
        <f>+Template!AG4</f>
        <v>Q02</v>
      </c>
      <c r="CR4" s="98"/>
      <c r="CS4" s="94">
        <f>+Template!D4</f>
        <v>1</v>
      </c>
      <c r="CT4" s="95">
        <f>+Template!E4</f>
        <v>10</v>
      </c>
      <c r="CU4" s="95">
        <f>+Template!F4</f>
        <v>11</v>
      </c>
      <c r="CV4" s="95">
        <f>+Template!G4</f>
        <v>12</v>
      </c>
      <c r="CW4" s="95">
        <f>+Template!H4</f>
        <v>13</v>
      </c>
      <c r="CX4" s="95">
        <f>+Template!I4</f>
        <v>14</v>
      </c>
      <c r="CY4" s="95">
        <f>+Template!J4</f>
        <v>15</v>
      </c>
      <c r="CZ4" s="95">
        <f>+Template!K4</f>
        <v>16</v>
      </c>
      <c r="DA4" s="95">
        <f>+Template!L4</f>
        <v>17</v>
      </c>
      <c r="DB4" s="95">
        <v>18</v>
      </c>
      <c r="DC4" s="95">
        <v>19</v>
      </c>
      <c r="DD4" s="95">
        <f>+Template!O4</f>
        <v>20</v>
      </c>
      <c r="DE4" s="95">
        <f>+Template!P4</f>
        <v>21</v>
      </c>
      <c r="DF4" s="95">
        <v>22</v>
      </c>
      <c r="DG4" s="95">
        <f>+Template!R4</f>
        <v>30</v>
      </c>
      <c r="DH4" s="95">
        <f>+Template!S4</f>
        <v>31</v>
      </c>
      <c r="DI4" s="95">
        <f>+Template!T4</f>
        <v>32</v>
      </c>
      <c r="DJ4" s="95">
        <f>+Template!U4</f>
        <v>33</v>
      </c>
      <c r="DK4" s="95">
        <f>+Template!V4</f>
        <v>34</v>
      </c>
      <c r="DL4" s="95">
        <f>+Template!W4</f>
        <v>40</v>
      </c>
      <c r="DM4" s="95" t="str">
        <f>+Template!X4</f>
        <v>W01</v>
      </c>
      <c r="DN4" s="95" t="str">
        <f>+Template!Y4</f>
        <v>W02</v>
      </c>
      <c r="DO4" s="95" t="str">
        <f>+Template!Z4</f>
        <v>W03</v>
      </c>
      <c r="DP4" s="95" t="str">
        <f>+Template!AA4</f>
        <v>W04</v>
      </c>
      <c r="DQ4" s="95" t="str">
        <f>+Template!AB4</f>
        <v>M01</v>
      </c>
      <c r="DR4" s="95" t="str">
        <f>+Template!AC4</f>
        <v>M02</v>
      </c>
      <c r="DS4" s="95" t="str">
        <f>+Template!AD4</f>
        <v>M03</v>
      </c>
      <c r="DT4" s="95" t="str">
        <f>+Template!AE4</f>
        <v>M04</v>
      </c>
      <c r="DU4" s="95" t="str">
        <f>+Template!AF4</f>
        <v>Q01</v>
      </c>
      <c r="DV4" s="95" t="str">
        <f>+Template!AG4</f>
        <v>Q02</v>
      </c>
      <c r="DW4" s="98"/>
      <c r="DX4" s="125"/>
      <c r="DY4" s="126"/>
      <c r="DZ4" s="126"/>
      <c r="EA4" s="126"/>
    </row>
    <row r="5" spans="1:141" x14ac:dyDescent="0.4">
      <c r="A5" s="74">
        <f>WEEKDAY(C5)</f>
        <v>2</v>
      </c>
      <c r="B5" s="74">
        <v>1</v>
      </c>
      <c r="C5" s="127">
        <f>DATE(Jaartal,June!$B$3,June!$B5)</f>
        <v>43983</v>
      </c>
      <c r="D5" s="100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2"/>
      <c r="AI5" s="100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2"/>
      <c r="BN5" s="100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2"/>
      <c r="CS5" s="100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3"/>
      <c r="DJ5" s="103"/>
      <c r="DK5" s="103"/>
      <c r="DL5" s="103"/>
      <c r="DM5" s="103"/>
      <c r="DN5" s="103"/>
      <c r="DO5" s="103"/>
      <c r="DP5" s="103"/>
      <c r="DQ5" s="103"/>
      <c r="DR5" s="103"/>
      <c r="DS5" s="103"/>
      <c r="DT5" s="103"/>
      <c r="DU5" s="103"/>
      <c r="DV5" s="103"/>
      <c r="DW5" s="102"/>
      <c r="DX5" s="128"/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</row>
    <row r="6" spans="1:141" x14ac:dyDescent="0.4">
      <c r="A6" s="74">
        <f t="shared" ref="A6:A35" si="0">WEEKDAY(C6)</f>
        <v>3</v>
      </c>
      <c r="B6" s="74">
        <v>2</v>
      </c>
      <c r="C6" s="127">
        <f>DATE(Jaartal,June!$B$3,June!$B6)</f>
        <v>43984</v>
      </c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6"/>
      <c r="AI6" s="104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6"/>
      <c r="BN6" s="104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6"/>
      <c r="CS6" s="104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6"/>
      <c r="DX6" s="128"/>
      <c r="DY6" s="128"/>
      <c r="DZ6" s="128"/>
      <c r="EA6" s="128"/>
      <c r="EB6" s="128"/>
      <c r="EC6" s="128"/>
      <c r="ED6" s="128"/>
      <c r="EE6" s="128"/>
      <c r="EF6" s="128"/>
      <c r="EG6" s="128"/>
      <c r="EH6" s="128"/>
      <c r="EI6" s="128"/>
      <c r="EJ6" s="128"/>
      <c r="EK6" s="128"/>
    </row>
    <row r="7" spans="1:141" x14ac:dyDescent="0.4">
      <c r="A7" s="74">
        <f t="shared" si="0"/>
        <v>4</v>
      </c>
      <c r="B7" s="74">
        <v>3</v>
      </c>
      <c r="C7" s="127">
        <f>DATE(Jaartal,June!$B$3,June!$B7)</f>
        <v>43985</v>
      </c>
      <c r="D7" s="104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6"/>
      <c r="AI7" s="104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6"/>
      <c r="BN7" s="104"/>
      <c r="BO7" s="105"/>
      <c r="BP7" s="105"/>
      <c r="BQ7" s="105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6"/>
      <c r="CS7" s="104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6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</row>
    <row r="8" spans="1:141" x14ac:dyDescent="0.4">
      <c r="A8" s="74">
        <f t="shared" si="0"/>
        <v>5</v>
      </c>
      <c r="B8" s="74">
        <v>4</v>
      </c>
      <c r="C8" s="127">
        <f>DATE(Jaartal,June!$B$3,June!$B8)</f>
        <v>43986</v>
      </c>
      <c r="D8" s="104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6"/>
      <c r="AI8" s="104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6"/>
      <c r="BN8" s="104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6"/>
      <c r="CS8" s="104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/>
      <c r="DT8" s="107"/>
      <c r="DU8" s="107"/>
      <c r="DV8" s="107"/>
      <c r="DW8" s="106"/>
      <c r="DX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</row>
    <row r="9" spans="1:141" x14ac:dyDescent="0.4">
      <c r="A9" s="74">
        <f t="shared" si="0"/>
        <v>6</v>
      </c>
      <c r="B9" s="74">
        <v>5</v>
      </c>
      <c r="C9" s="127">
        <f>DATE(Jaartal,June!$B$3,June!$B9)</f>
        <v>43987</v>
      </c>
      <c r="D9" s="104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6"/>
      <c r="AI9" s="104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6"/>
      <c r="BN9" s="104"/>
      <c r="BO9" s="105"/>
      <c r="BP9" s="105"/>
      <c r="BQ9" s="105"/>
      <c r="BR9" s="105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6"/>
      <c r="CS9" s="104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5"/>
      <c r="DH9" s="105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6"/>
      <c r="DX9" s="128"/>
      <c r="DY9" s="128"/>
      <c r="DZ9" s="128"/>
      <c r="EA9" s="128"/>
      <c r="EB9" s="128"/>
      <c r="EC9" s="128"/>
      <c r="ED9" s="128"/>
      <c r="EE9" s="128"/>
      <c r="EF9" s="128"/>
      <c r="EG9" s="128"/>
      <c r="EH9" s="128"/>
      <c r="EI9" s="128"/>
      <c r="EJ9" s="128"/>
      <c r="EK9" s="128"/>
    </row>
    <row r="10" spans="1:141" x14ac:dyDescent="0.4">
      <c r="A10" s="74">
        <f t="shared" si="0"/>
        <v>7</v>
      </c>
      <c r="B10" s="74">
        <v>6</v>
      </c>
      <c r="C10" s="127">
        <f>DATE(Jaartal,June!$B$3,June!$B10)</f>
        <v>43988</v>
      </c>
      <c r="D10" s="104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6"/>
      <c r="AI10" s="104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6"/>
      <c r="BN10" s="104"/>
      <c r="BO10" s="105"/>
      <c r="BP10" s="105"/>
      <c r="BQ10" s="105"/>
      <c r="BR10" s="105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6"/>
      <c r="CS10" s="104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5"/>
      <c r="DH10" s="105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6"/>
      <c r="DX10" s="128"/>
      <c r="DY10" s="128"/>
      <c r="DZ10" s="128"/>
      <c r="EA10" s="128"/>
      <c r="EB10" s="128"/>
      <c r="EC10" s="128"/>
      <c r="ED10" s="128"/>
      <c r="EE10" s="128"/>
      <c r="EF10" s="128"/>
      <c r="EG10" s="128"/>
      <c r="EH10" s="128"/>
      <c r="EI10" s="128"/>
      <c r="EJ10" s="128"/>
      <c r="EK10" s="128"/>
    </row>
    <row r="11" spans="1:141" x14ac:dyDescent="0.4">
      <c r="A11" s="74">
        <f t="shared" si="0"/>
        <v>1</v>
      </c>
      <c r="B11" s="74">
        <v>7</v>
      </c>
      <c r="C11" s="127">
        <f>DATE(Jaartal,June!$B$3,June!$B11)</f>
        <v>43989</v>
      </c>
      <c r="D11" s="104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6"/>
      <c r="AI11" s="104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6"/>
      <c r="BN11" s="104"/>
      <c r="BO11" s="105"/>
      <c r="BP11" s="105"/>
      <c r="BQ11" s="105"/>
      <c r="BR11" s="105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6"/>
      <c r="CS11" s="104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5"/>
      <c r="DH11" s="105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6"/>
      <c r="DX11" s="128"/>
      <c r="DY11" s="128"/>
      <c r="DZ11" s="128"/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</row>
    <row r="12" spans="1:141" x14ac:dyDescent="0.4">
      <c r="A12" s="74">
        <f t="shared" si="0"/>
        <v>2</v>
      </c>
      <c r="B12" s="74">
        <v>8</v>
      </c>
      <c r="C12" s="127">
        <f>DATE(Jaartal,June!$B$3,June!$B12)</f>
        <v>43990</v>
      </c>
      <c r="D12" s="104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6"/>
      <c r="AI12" s="104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6"/>
      <c r="BN12" s="104"/>
      <c r="BO12" s="105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6"/>
      <c r="CS12" s="104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5"/>
      <c r="DH12" s="105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6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</row>
    <row r="13" spans="1:141" x14ac:dyDescent="0.4">
      <c r="A13" s="74">
        <f t="shared" si="0"/>
        <v>3</v>
      </c>
      <c r="B13" s="74">
        <v>9</v>
      </c>
      <c r="C13" s="127">
        <f>DATE(Jaartal,June!$B$3,June!$B13)</f>
        <v>43991</v>
      </c>
      <c r="D13" s="104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6"/>
      <c r="AI13" s="104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6"/>
      <c r="BN13" s="104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6"/>
      <c r="CS13" s="104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5"/>
      <c r="DH13" s="105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6"/>
      <c r="DX13" s="128"/>
      <c r="DY13" s="128"/>
      <c r="DZ13" s="128"/>
      <c r="EA13" s="128"/>
      <c r="EB13" s="128"/>
      <c r="EC13" s="128"/>
      <c r="ED13" s="128"/>
      <c r="EE13" s="128"/>
      <c r="EF13" s="128"/>
      <c r="EG13" s="128"/>
      <c r="EH13" s="128"/>
      <c r="EI13" s="128"/>
      <c r="EJ13" s="128"/>
      <c r="EK13" s="128"/>
    </row>
    <row r="14" spans="1:141" x14ac:dyDescent="0.4">
      <c r="A14" s="74">
        <f t="shared" si="0"/>
        <v>4</v>
      </c>
      <c r="B14" s="74">
        <v>10</v>
      </c>
      <c r="C14" s="127">
        <f>DATE(Jaartal,June!$B$3,June!$B14)</f>
        <v>43992</v>
      </c>
      <c r="D14" s="104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6"/>
      <c r="AI14" s="104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6"/>
      <c r="BN14" s="104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6"/>
      <c r="CS14" s="104"/>
      <c r="CT14" s="105"/>
      <c r="CU14" s="105"/>
      <c r="CV14" s="105"/>
      <c r="CW14" s="105"/>
      <c r="CX14" s="105"/>
      <c r="CY14" s="105"/>
      <c r="CZ14" s="105"/>
      <c r="DA14" s="105"/>
      <c r="DB14" s="105"/>
      <c r="DC14" s="105"/>
      <c r="DD14" s="105"/>
      <c r="DE14" s="105"/>
      <c r="DF14" s="105"/>
      <c r="DG14" s="105"/>
      <c r="DH14" s="105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6"/>
      <c r="DX14" s="128"/>
      <c r="DY14" s="128"/>
      <c r="DZ14" s="128"/>
      <c r="EA14" s="128"/>
      <c r="EB14" s="128"/>
      <c r="EC14" s="128"/>
      <c r="ED14" s="128"/>
      <c r="EE14" s="128"/>
      <c r="EF14" s="128"/>
      <c r="EG14" s="128"/>
      <c r="EH14" s="128"/>
      <c r="EI14" s="128"/>
      <c r="EJ14" s="128"/>
      <c r="EK14" s="128"/>
    </row>
    <row r="15" spans="1:141" x14ac:dyDescent="0.4">
      <c r="A15" s="74">
        <f t="shared" si="0"/>
        <v>5</v>
      </c>
      <c r="B15" s="74">
        <v>11</v>
      </c>
      <c r="C15" s="127">
        <f>DATE(Jaartal,June!$B$3,June!$B15)</f>
        <v>43993</v>
      </c>
      <c r="D15" s="104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6"/>
      <c r="AI15" s="104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6"/>
      <c r="BN15" s="104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6"/>
      <c r="CS15" s="104"/>
      <c r="CT15" s="105"/>
      <c r="CU15" s="105"/>
      <c r="CV15" s="105"/>
      <c r="CW15" s="105"/>
      <c r="CX15" s="105"/>
      <c r="CY15" s="105"/>
      <c r="CZ15" s="105"/>
      <c r="DA15" s="105"/>
      <c r="DB15" s="105"/>
      <c r="DC15" s="105"/>
      <c r="DD15" s="105"/>
      <c r="DE15" s="105"/>
      <c r="DF15" s="105"/>
      <c r="DG15" s="105"/>
      <c r="DH15" s="105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6"/>
      <c r="DX15" s="128"/>
      <c r="DY15" s="128"/>
      <c r="DZ15" s="128"/>
      <c r="EA15" s="128"/>
      <c r="EB15" s="128"/>
      <c r="EC15" s="128"/>
      <c r="ED15" s="128"/>
      <c r="EE15" s="128"/>
      <c r="EF15" s="128"/>
      <c r="EG15" s="128"/>
      <c r="EH15" s="128"/>
      <c r="EI15" s="128"/>
      <c r="EJ15" s="128"/>
      <c r="EK15" s="128"/>
    </row>
    <row r="16" spans="1:141" x14ac:dyDescent="0.4">
      <c r="A16" s="74">
        <f t="shared" si="0"/>
        <v>6</v>
      </c>
      <c r="B16" s="74">
        <v>12</v>
      </c>
      <c r="C16" s="127">
        <f>DATE(Jaartal,June!$B$3,June!$B16)</f>
        <v>43994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6"/>
      <c r="AI16" s="104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6"/>
      <c r="BN16" s="104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6"/>
      <c r="DX16" s="128"/>
      <c r="DY16" s="128"/>
      <c r="DZ16" s="128"/>
      <c r="EA16" s="128"/>
      <c r="EB16" s="128"/>
      <c r="EC16" s="128"/>
      <c r="ED16" s="128"/>
      <c r="EE16" s="128"/>
      <c r="EF16" s="128"/>
      <c r="EG16" s="128"/>
      <c r="EH16" s="128"/>
      <c r="EI16" s="128"/>
      <c r="EJ16" s="128"/>
      <c r="EK16" s="128"/>
    </row>
    <row r="17" spans="1:141" x14ac:dyDescent="0.4">
      <c r="A17" s="74">
        <f t="shared" si="0"/>
        <v>7</v>
      </c>
      <c r="B17" s="74">
        <v>13</v>
      </c>
      <c r="C17" s="127">
        <f>DATE(Jaartal,June!$B$3,June!$B17)</f>
        <v>43995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6"/>
      <c r="AI17" s="104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6"/>
      <c r="BN17" s="104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6"/>
      <c r="CS17" s="104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6"/>
      <c r="DX17" s="128"/>
      <c r="DY17" s="128"/>
      <c r="DZ17" s="128"/>
      <c r="EA17" s="128"/>
      <c r="EB17" s="128"/>
      <c r="EC17" s="128"/>
      <c r="ED17" s="128"/>
      <c r="EE17" s="128"/>
      <c r="EF17" s="128"/>
      <c r="EG17" s="128"/>
      <c r="EH17" s="128"/>
      <c r="EI17" s="128"/>
      <c r="EJ17" s="128"/>
      <c r="EK17" s="128"/>
    </row>
    <row r="18" spans="1:141" x14ac:dyDescent="0.4">
      <c r="A18" s="74">
        <f t="shared" si="0"/>
        <v>1</v>
      </c>
      <c r="B18" s="74">
        <v>14</v>
      </c>
      <c r="C18" s="127">
        <f>DATE(Jaartal,June!$B$3,June!$B18)</f>
        <v>43996</v>
      </c>
      <c r="D18" s="104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6"/>
      <c r="AI18" s="104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6"/>
      <c r="BN18" s="104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6"/>
      <c r="CS18" s="104"/>
      <c r="CT18" s="105"/>
      <c r="CU18" s="105"/>
      <c r="CV18" s="105"/>
      <c r="CW18" s="105"/>
      <c r="CX18" s="105"/>
      <c r="CY18" s="105"/>
      <c r="CZ18" s="105"/>
      <c r="DA18" s="105"/>
      <c r="DB18" s="105"/>
      <c r="DC18" s="105"/>
      <c r="DD18" s="105"/>
      <c r="DE18" s="105"/>
      <c r="DF18" s="105"/>
      <c r="DG18" s="105"/>
      <c r="DH18" s="105"/>
      <c r="DI18" s="107"/>
      <c r="DJ18" s="107"/>
      <c r="DK18" s="107"/>
      <c r="DL18" s="107"/>
      <c r="DM18" s="107"/>
      <c r="DN18" s="107"/>
      <c r="DO18" s="107"/>
      <c r="DP18" s="107"/>
      <c r="DQ18" s="107"/>
      <c r="DR18" s="107"/>
      <c r="DS18" s="107"/>
      <c r="DT18" s="107"/>
      <c r="DU18" s="107"/>
      <c r="DV18" s="107"/>
      <c r="DW18" s="106"/>
      <c r="DX18" s="128"/>
      <c r="DY18" s="128"/>
      <c r="DZ18" s="128"/>
      <c r="EA18" s="128"/>
      <c r="EB18" s="128"/>
      <c r="EC18" s="128"/>
      <c r="ED18" s="128"/>
      <c r="EE18" s="128"/>
      <c r="EF18" s="128"/>
      <c r="EG18" s="128"/>
      <c r="EH18" s="128"/>
      <c r="EI18" s="128"/>
      <c r="EJ18" s="128"/>
      <c r="EK18" s="128"/>
    </row>
    <row r="19" spans="1:141" x14ac:dyDescent="0.4">
      <c r="A19" s="74">
        <f t="shared" si="0"/>
        <v>2</v>
      </c>
      <c r="B19" s="74">
        <v>15</v>
      </c>
      <c r="C19" s="127">
        <f>DATE(Jaartal,June!$B$3,June!$B19)</f>
        <v>43997</v>
      </c>
      <c r="D19" s="104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6"/>
      <c r="AI19" s="104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6"/>
      <c r="BN19" s="104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6"/>
      <c r="CS19" s="104"/>
      <c r="CT19" s="105"/>
      <c r="CU19" s="105"/>
      <c r="CV19" s="105"/>
      <c r="CW19" s="105"/>
      <c r="CX19" s="105"/>
      <c r="CY19" s="105"/>
      <c r="CZ19" s="105"/>
      <c r="DA19" s="105"/>
      <c r="DB19" s="105"/>
      <c r="DC19" s="105"/>
      <c r="DD19" s="105"/>
      <c r="DE19" s="105"/>
      <c r="DF19" s="105"/>
      <c r="DG19" s="105"/>
      <c r="DH19" s="105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6"/>
      <c r="DX19" s="128"/>
      <c r="DY19" s="128"/>
      <c r="DZ19" s="128"/>
      <c r="EA19" s="128"/>
      <c r="EB19" s="128"/>
      <c r="EC19" s="128"/>
      <c r="ED19" s="128"/>
      <c r="EE19" s="128"/>
      <c r="EF19" s="128"/>
      <c r="EG19" s="128"/>
      <c r="EH19" s="128"/>
      <c r="EI19" s="128"/>
      <c r="EJ19" s="128"/>
      <c r="EK19" s="128"/>
    </row>
    <row r="20" spans="1:141" x14ac:dyDescent="0.4">
      <c r="A20" s="74">
        <f t="shared" si="0"/>
        <v>3</v>
      </c>
      <c r="B20" s="74">
        <v>16</v>
      </c>
      <c r="C20" s="127">
        <f>DATE(Jaartal,June!$B$3,June!$B20)</f>
        <v>43998</v>
      </c>
      <c r="D20" s="104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6"/>
      <c r="AI20" s="104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6"/>
      <c r="BN20" s="104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6"/>
      <c r="CS20" s="104"/>
      <c r="CT20" s="105"/>
      <c r="CU20" s="105"/>
      <c r="CV20" s="105"/>
      <c r="CW20" s="105"/>
      <c r="CX20" s="105"/>
      <c r="CY20" s="105"/>
      <c r="CZ20" s="105"/>
      <c r="DA20" s="105"/>
      <c r="DB20" s="105"/>
      <c r="DC20" s="105"/>
      <c r="DD20" s="105"/>
      <c r="DE20" s="105"/>
      <c r="DF20" s="105"/>
      <c r="DG20" s="105"/>
      <c r="DH20" s="105"/>
      <c r="DI20" s="107"/>
      <c r="DJ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U20" s="107"/>
      <c r="DV20" s="107"/>
      <c r="DW20" s="106"/>
      <c r="DX20" s="128"/>
      <c r="DY20" s="128"/>
      <c r="DZ20" s="128"/>
      <c r="EA20" s="128"/>
      <c r="EB20" s="128"/>
      <c r="EC20" s="128"/>
      <c r="ED20" s="128"/>
      <c r="EE20" s="128"/>
      <c r="EF20" s="128"/>
      <c r="EG20" s="128"/>
      <c r="EH20" s="128"/>
      <c r="EI20" s="128"/>
      <c r="EJ20" s="128"/>
      <c r="EK20" s="128"/>
    </row>
    <row r="21" spans="1:141" x14ac:dyDescent="0.4">
      <c r="A21" s="74">
        <f t="shared" si="0"/>
        <v>4</v>
      </c>
      <c r="B21" s="74">
        <v>17</v>
      </c>
      <c r="C21" s="127">
        <f>DATE(Jaartal,June!$B$3,June!$B21)</f>
        <v>43999</v>
      </c>
      <c r="D21" s="104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6"/>
      <c r="AI21" s="104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6"/>
      <c r="BN21" s="104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6"/>
      <c r="CS21" s="104"/>
      <c r="CT21" s="105"/>
      <c r="CU21" s="105"/>
      <c r="CV21" s="105"/>
      <c r="CW21" s="105"/>
      <c r="CX21" s="105"/>
      <c r="CY21" s="105"/>
      <c r="CZ21" s="105"/>
      <c r="DA21" s="105"/>
      <c r="DB21" s="105"/>
      <c r="DC21" s="105"/>
      <c r="DD21" s="105"/>
      <c r="DE21" s="105"/>
      <c r="DF21" s="105"/>
      <c r="DG21" s="105"/>
      <c r="DH21" s="105"/>
      <c r="DI21" s="107"/>
      <c r="DJ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U21" s="107"/>
      <c r="DV21" s="107"/>
      <c r="DW21" s="106"/>
      <c r="DX21" s="128"/>
      <c r="DY21" s="128"/>
      <c r="DZ21" s="128"/>
      <c r="EA21" s="128"/>
      <c r="EB21" s="128"/>
      <c r="EC21" s="128"/>
      <c r="ED21" s="128"/>
      <c r="EE21" s="128"/>
      <c r="EF21" s="128"/>
      <c r="EG21" s="128"/>
      <c r="EH21" s="128"/>
      <c r="EI21" s="128"/>
      <c r="EJ21" s="128"/>
      <c r="EK21" s="128"/>
    </row>
    <row r="22" spans="1:141" x14ac:dyDescent="0.4">
      <c r="A22" s="74">
        <f t="shared" si="0"/>
        <v>5</v>
      </c>
      <c r="B22" s="74">
        <v>18</v>
      </c>
      <c r="C22" s="127">
        <f>DATE(Jaartal,June!$B$3,June!$B22)</f>
        <v>44000</v>
      </c>
      <c r="D22" s="104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6"/>
      <c r="AI22" s="104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6"/>
      <c r="BN22" s="104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6"/>
      <c r="CS22" s="104"/>
      <c r="CT22" s="105"/>
      <c r="CU22" s="105"/>
      <c r="CV22" s="105"/>
      <c r="CW22" s="105"/>
      <c r="CX22" s="105"/>
      <c r="CY22" s="105"/>
      <c r="CZ22" s="105"/>
      <c r="DA22" s="105"/>
      <c r="DB22" s="105"/>
      <c r="DC22" s="105"/>
      <c r="DD22" s="105"/>
      <c r="DE22" s="105"/>
      <c r="DF22" s="105"/>
      <c r="DG22" s="105"/>
      <c r="DH22" s="105"/>
      <c r="DI22" s="107"/>
      <c r="DJ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U22" s="107"/>
      <c r="DV22" s="107"/>
      <c r="DW22" s="106"/>
      <c r="DX22" s="128"/>
      <c r="DY22" s="128"/>
      <c r="DZ22" s="128"/>
      <c r="EA22" s="128"/>
      <c r="EB22" s="128"/>
      <c r="EC22" s="128"/>
      <c r="ED22" s="128"/>
      <c r="EE22" s="128"/>
      <c r="EF22" s="128"/>
      <c r="EG22" s="128"/>
      <c r="EH22" s="128"/>
      <c r="EI22" s="128"/>
      <c r="EJ22" s="128"/>
      <c r="EK22" s="128"/>
    </row>
    <row r="23" spans="1:141" x14ac:dyDescent="0.4">
      <c r="A23" s="74">
        <f t="shared" si="0"/>
        <v>6</v>
      </c>
      <c r="B23" s="74">
        <v>19</v>
      </c>
      <c r="C23" s="127">
        <f>DATE(Jaartal,June!$B$3,June!$B23)</f>
        <v>44001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6"/>
      <c r="AI23" s="104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6"/>
      <c r="BN23" s="104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7"/>
      <c r="CE23" s="107"/>
      <c r="CF23" s="107"/>
      <c r="CG23" s="107"/>
      <c r="CH23" s="107"/>
      <c r="CI23" s="107"/>
      <c r="CJ23" s="107"/>
      <c r="CK23" s="107"/>
      <c r="CL23" s="107"/>
      <c r="CM23" s="107"/>
      <c r="CN23" s="107"/>
      <c r="CO23" s="107"/>
      <c r="CP23" s="107"/>
      <c r="CQ23" s="107"/>
      <c r="CR23" s="106"/>
      <c r="CS23" s="104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5"/>
      <c r="DH23" s="105"/>
      <c r="DI23" s="107"/>
      <c r="DJ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U23" s="107"/>
      <c r="DV23" s="107"/>
      <c r="DW23" s="106"/>
      <c r="DX23" s="128"/>
      <c r="DY23" s="128"/>
      <c r="DZ23" s="128"/>
      <c r="EA23" s="128"/>
      <c r="EB23" s="128"/>
      <c r="EC23" s="128"/>
      <c r="ED23" s="128"/>
      <c r="EE23" s="128"/>
      <c r="EF23" s="128"/>
      <c r="EG23" s="128"/>
      <c r="EH23" s="128"/>
      <c r="EI23" s="128"/>
      <c r="EJ23" s="128"/>
      <c r="EK23" s="128"/>
    </row>
    <row r="24" spans="1:141" x14ac:dyDescent="0.4">
      <c r="A24" s="74">
        <f t="shared" si="0"/>
        <v>7</v>
      </c>
      <c r="B24" s="74">
        <v>20</v>
      </c>
      <c r="C24" s="127">
        <f>DATE(Jaartal,June!$B$3,June!$B24)</f>
        <v>44002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6"/>
      <c r="AI24" s="104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6"/>
      <c r="BN24" s="104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6"/>
      <c r="DX24" s="128"/>
      <c r="DY24" s="128"/>
      <c r="DZ24" s="128"/>
      <c r="EA24" s="128"/>
      <c r="EB24" s="128"/>
      <c r="EC24" s="128"/>
      <c r="ED24" s="128"/>
      <c r="EE24" s="128"/>
      <c r="EF24" s="128"/>
      <c r="EG24" s="128"/>
      <c r="EH24" s="128"/>
      <c r="EI24" s="128"/>
      <c r="EJ24" s="128"/>
      <c r="EK24" s="128"/>
    </row>
    <row r="25" spans="1:141" x14ac:dyDescent="0.4">
      <c r="A25" s="74">
        <f t="shared" si="0"/>
        <v>1</v>
      </c>
      <c r="B25" s="74">
        <v>21</v>
      </c>
      <c r="C25" s="127">
        <f>DATE(Jaartal,June!$B$3,June!$B25)</f>
        <v>44003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6"/>
      <c r="AI25" s="104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6"/>
      <c r="BN25" s="104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U25" s="107"/>
      <c r="DV25" s="107"/>
      <c r="DW25" s="106"/>
      <c r="DX25" s="128"/>
      <c r="DY25" s="128"/>
      <c r="DZ25" s="128"/>
      <c r="EA25" s="128"/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</row>
    <row r="26" spans="1:141" x14ac:dyDescent="0.4">
      <c r="A26" s="74">
        <f t="shared" si="0"/>
        <v>2</v>
      </c>
      <c r="B26" s="74">
        <v>22</v>
      </c>
      <c r="C26" s="127">
        <f>DATE(Jaartal,June!$B$3,June!$B26)</f>
        <v>44004</v>
      </c>
      <c r="D26" s="104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6"/>
      <c r="AI26" s="104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6"/>
      <c r="BN26" s="104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6"/>
      <c r="CS26" s="104"/>
      <c r="CT26" s="105"/>
      <c r="CU26" s="105"/>
      <c r="CV26" s="105"/>
      <c r="CW26" s="105"/>
      <c r="CX26" s="105"/>
      <c r="CY26" s="105"/>
      <c r="CZ26" s="105"/>
      <c r="DA26" s="105"/>
      <c r="DB26" s="105"/>
      <c r="DC26" s="105"/>
      <c r="DD26" s="105"/>
      <c r="DE26" s="105"/>
      <c r="DF26" s="105"/>
      <c r="DG26" s="105"/>
      <c r="DH26" s="105"/>
      <c r="DI26" s="107"/>
      <c r="DJ26" s="107"/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U26" s="107"/>
      <c r="DV26" s="107"/>
      <c r="DW26" s="106"/>
      <c r="DX26" s="128"/>
      <c r="DY26" s="128"/>
      <c r="DZ26" s="128"/>
      <c r="EA26" s="128"/>
      <c r="EB26" s="128"/>
      <c r="EC26" s="128"/>
      <c r="ED26" s="128"/>
      <c r="EE26" s="128"/>
      <c r="EF26" s="128"/>
      <c r="EG26" s="128"/>
      <c r="EH26" s="128"/>
      <c r="EI26" s="128"/>
      <c r="EJ26" s="128"/>
      <c r="EK26" s="128"/>
    </row>
    <row r="27" spans="1:141" x14ac:dyDescent="0.4">
      <c r="A27" s="74">
        <f t="shared" si="0"/>
        <v>3</v>
      </c>
      <c r="B27" s="74">
        <v>23</v>
      </c>
      <c r="C27" s="127">
        <f>DATE(Jaartal,June!$B$3,June!$B27)</f>
        <v>44005</v>
      </c>
      <c r="D27" s="104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6"/>
      <c r="AI27" s="104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6"/>
      <c r="BN27" s="104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6"/>
      <c r="CS27" s="104"/>
      <c r="CT27" s="105"/>
      <c r="CU27" s="105"/>
      <c r="CV27" s="105"/>
      <c r="CW27" s="105"/>
      <c r="CX27" s="105"/>
      <c r="CY27" s="105"/>
      <c r="CZ27" s="105"/>
      <c r="DA27" s="105"/>
      <c r="DB27" s="105"/>
      <c r="DC27" s="105"/>
      <c r="DD27" s="105"/>
      <c r="DE27" s="105"/>
      <c r="DF27" s="105"/>
      <c r="DG27" s="105"/>
      <c r="DH27" s="105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U27" s="107"/>
      <c r="DV27" s="107"/>
      <c r="DW27" s="106"/>
      <c r="DX27" s="128"/>
      <c r="DY27" s="128"/>
      <c r="DZ27" s="128"/>
      <c r="EA27" s="128"/>
      <c r="EB27" s="128"/>
      <c r="EC27" s="128"/>
      <c r="ED27" s="128"/>
      <c r="EE27" s="128"/>
      <c r="EF27" s="128"/>
      <c r="EG27" s="128"/>
      <c r="EH27" s="128"/>
      <c r="EI27" s="128"/>
      <c r="EJ27" s="128"/>
      <c r="EK27" s="128"/>
    </row>
    <row r="28" spans="1:141" x14ac:dyDescent="0.4">
      <c r="A28" s="74">
        <f t="shared" si="0"/>
        <v>4</v>
      </c>
      <c r="B28" s="74">
        <v>24</v>
      </c>
      <c r="C28" s="127">
        <f>DATE(Jaartal,June!$B$3,June!$B28)</f>
        <v>44006</v>
      </c>
      <c r="D28" s="104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6"/>
      <c r="AI28" s="104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6"/>
      <c r="BN28" s="104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6"/>
      <c r="CS28" s="104"/>
      <c r="CT28" s="105"/>
      <c r="CU28" s="105"/>
      <c r="CV28" s="105"/>
      <c r="CW28" s="105"/>
      <c r="CX28" s="105"/>
      <c r="CY28" s="105"/>
      <c r="CZ28" s="105"/>
      <c r="DA28" s="105"/>
      <c r="DB28" s="105"/>
      <c r="DC28" s="105"/>
      <c r="DD28" s="105"/>
      <c r="DE28" s="105"/>
      <c r="DF28" s="105"/>
      <c r="DG28" s="105"/>
      <c r="DH28" s="105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6"/>
      <c r="DX28" s="128"/>
      <c r="DY28" s="128"/>
      <c r="DZ28" s="128"/>
      <c r="EA28" s="128"/>
      <c r="EB28" s="128"/>
      <c r="EC28" s="128"/>
      <c r="ED28" s="128"/>
      <c r="EE28" s="128"/>
      <c r="EF28" s="128"/>
      <c r="EG28" s="128"/>
      <c r="EH28" s="128"/>
      <c r="EI28" s="128"/>
      <c r="EJ28" s="128"/>
      <c r="EK28" s="128"/>
    </row>
    <row r="29" spans="1:141" x14ac:dyDescent="0.4">
      <c r="A29" s="74">
        <f t="shared" si="0"/>
        <v>5</v>
      </c>
      <c r="B29" s="74">
        <v>25</v>
      </c>
      <c r="C29" s="127">
        <f>DATE(Jaartal,June!$B$3,June!$B29)</f>
        <v>44007</v>
      </c>
      <c r="D29" s="104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6"/>
      <c r="AI29" s="104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6"/>
      <c r="BN29" s="104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6"/>
      <c r="CS29" s="104"/>
      <c r="CT29" s="105"/>
      <c r="CU29" s="105"/>
      <c r="CV29" s="105"/>
      <c r="CW29" s="105"/>
      <c r="CX29" s="105"/>
      <c r="CY29" s="105"/>
      <c r="CZ29" s="105"/>
      <c r="DA29" s="105"/>
      <c r="DB29" s="105"/>
      <c r="DC29" s="105"/>
      <c r="DD29" s="105"/>
      <c r="DE29" s="105"/>
      <c r="DF29" s="105"/>
      <c r="DG29" s="105"/>
      <c r="DH29" s="105"/>
      <c r="DI29" s="107"/>
      <c r="DJ29" s="107"/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U29" s="107"/>
      <c r="DV29" s="107"/>
      <c r="DW29" s="106"/>
      <c r="DX29" s="128"/>
      <c r="DY29" s="128"/>
      <c r="DZ29" s="128"/>
      <c r="EA29" s="128"/>
      <c r="EB29" s="128"/>
      <c r="EC29" s="128"/>
      <c r="ED29" s="128"/>
      <c r="EE29" s="128"/>
      <c r="EF29" s="128"/>
      <c r="EG29" s="128"/>
      <c r="EH29" s="128"/>
      <c r="EI29" s="128"/>
      <c r="EJ29" s="128"/>
      <c r="EK29" s="128"/>
    </row>
    <row r="30" spans="1:141" x14ac:dyDescent="0.4">
      <c r="A30" s="74">
        <f t="shared" si="0"/>
        <v>6</v>
      </c>
      <c r="B30" s="74">
        <v>26</v>
      </c>
      <c r="C30" s="127">
        <f>DATE(Jaartal,June!$B$3,June!$B30)</f>
        <v>44008</v>
      </c>
      <c r="D30" s="104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6"/>
      <c r="AI30" s="104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6"/>
      <c r="BN30" s="104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6"/>
      <c r="CS30" s="104"/>
      <c r="CT30" s="105"/>
      <c r="CU30" s="105"/>
      <c r="CV30" s="105"/>
      <c r="CW30" s="105"/>
      <c r="CX30" s="105"/>
      <c r="CY30" s="105"/>
      <c r="CZ30" s="105"/>
      <c r="DA30" s="105"/>
      <c r="DB30" s="105"/>
      <c r="DC30" s="105"/>
      <c r="DD30" s="105"/>
      <c r="DE30" s="105"/>
      <c r="DF30" s="105"/>
      <c r="DG30" s="105"/>
      <c r="DH30" s="105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U30" s="107"/>
      <c r="DV30" s="107"/>
      <c r="DW30" s="106"/>
      <c r="DX30" s="128"/>
      <c r="DY30" s="128"/>
      <c r="DZ30" s="128"/>
      <c r="EA30" s="128"/>
      <c r="EB30" s="128"/>
      <c r="EC30" s="128"/>
      <c r="ED30" s="128"/>
      <c r="EE30" s="128"/>
      <c r="EF30" s="128"/>
      <c r="EG30" s="128"/>
      <c r="EH30" s="128"/>
      <c r="EI30" s="128"/>
      <c r="EJ30" s="128"/>
      <c r="EK30" s="128"/>
    </row>
    <row r="31" spans="1:141" x14ac:dyDescent="0.4">
      <c r="A31" s="74">
        <f t="shared" si="0"/>
        <v>7</v>
      </c>
      <c r="B31" s="74">
        <v>27</v>
      </c>
      <c r="C31" s="127">
        <f>DATE(Jaartal,June!$B$3,June!$B31)</f>
        <v>44009</v>
      </c>
      <c r="D31" s="104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6"/>
      <c r="AI31" s="104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6"/>
      <c r="BN31" s="104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6"/>
      <c r="CS31" s="104"/>
      <c r="CT31" s="105"/>
      <c r="CU31" s="105"/>
      <c r="CV31" s="105"/>
      <c r="CW31" s="105"/>
      <c r="CX31" s="105"/>
      <c r="CY31" s="105"/>
      <c r="CZ31" s="105"/>
      <c r="DA31" s="105"/>
      <c r="DB31" s="105"/>
      <c r="DC31" s="105"/>
      <c r="DD31" s="105"/>
      <c r="DE31" s="105"/>
      <c r="DF31" s="105"/>
      <c r="DG31" s="105"/>
      <c r="DH31" s="105"/>
      <c r="DI31" s="107"/>
      <c r="DJ31" s="107"/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U31" s="107"/>
      <c r="DV31" s="107"/>
      <c r="DW31" s="106"/>
      <c r="DX31" s="128"/>
      <c r="DY31" s="128"/>
      <c r="DZ31" s="128"/>
      <c r="EA31" s="128"/>
      <c r="EB31" s="128"/>
      <c r="EC31" s="128"/>
      <c r="ED31" s="128"/>
      <c r="EE31" s="128"/>
      <c r="EF31" s="128"/>
      <c r="EG31" s="128"/>
      <c r="EH31" s="128"/>
      <c r="EI31" s="128"/>
      <c r="EJ31" s="128"/>
      <c r="EK31" s="128"/>
    </row>
    <row r="32" spans="1:141" x14ac:dyDescent="0.4">
      <c r="A32" s="74">
        <f t="shared" si="0"/>
        <v>1</v>
      </c>
      <c r="B32" s="74">
        <v>28</v>
      </c>
      <c r="C32" s="127">
        <f>DATE(Jaartal,June!$B$3,June!$B32)</f>
        <v>44010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6"/>
      <c r="AI32" s="104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6"/>
      <c r="BN32" s="104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6"/>
      <c r="CS32" s="104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6"/>
      <c r="DX32" s="128"/>
      <c r="DY32" s="128"/>
      <c r="DZ32" s="128"/>
      <c r="EA32" s="128"/>
      <c r="EB32" s="128"/>
      <c r="EC32" s="128"/>
      <c r="ED32" s="128"/>
      <c r="EE32" s="128"/>
      <c r="EF32" s="128"/>
      <c r="EG32" s="128"/>
      <c r="EH32" s="128"/>
      <c r="EI32" s="128"/>
      <c r="EJ32" s="128"/>
      <c r="EK32" s="128"/>
    </row>
    <row r="33" spans="1:141" x14ac:dyDescent="0.4">
      <c r="A33" s="74">
        <f t="shared" si="0"/>
        <v>2</v>
      </c>
      <c r="B33" s="74">
        <v>29</v>
      </c>
      <c r="C33" s="127">
        <f>DATE(Jaartal,June!$B$3,June!$B33)</f>
        <v>44011</v>
      </c>
      <c r="D33" s="104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6"/>
      <c r="AI33" s="104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6"/>
      <c r="BN33" s="104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6"/>
      <c r="CS33" s="104"/>
      <c r="CT33" s="105"/>
      <c r="CU33" s="105"/>
      <c r="CV33" s="105"/>
      <c r="CW33" s="105"/>
      <c r="CX33" s="105"/>
      <c r="CY33" s="105"/>
      <c r="CZ33" s="105"/>
      <c r="DA33" s="105"/>
      <c r="DB33" s="105"/>
      <c r="DC33" s="105"/>
      <c r="DD33" s="105"/>
      <c r="DE33" s="105"/>
      <c r="DF33" s="105"/>
      <c r="DG33" s="105"/>
      <c r="DH33" s="105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6"/>
      <c r="DX33" s="128"/>
      <c r="DY33" s="128"/>
      <c r="DZ33" s="128"/>
      <c r="EA33" s="128"/>
      <c r="EB33" s="128"/>
      <c r="EC33" s="128"/>
      <c r="ED33" s="128"/>
      <c r="EE33" s="128"/>
      <c r="EF33" s="128"/>
      <c r="EG33" s="128"/>
      <c r="EH33" s="128"/>
      <c r="EI33" s="128"/>
      <c r="EJ33" s="128"/>
      <c r="EK33" s="128"/>
    </row>
    <row r="34" spans="1:141" x14ac:dyDescent="0.4">
      <c r="A34" s="74">
        <f t="shared" si="0"/>
        <v>3</v>
      </c>
      <c r="B34" s="74">
        <v>30</v>
      </c>
      <c r="C34" s="127">
        <f>DATE(Jaartal,June!$B$3,June!$B34)</f>
        <v>44012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6"/>
      <c r="AI34" s="104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6"/>
      <c r="BN34" s="104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6"/>
      <c r="CS34" s="104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5"/>
      <c r="DH34" s="105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6"/>
      <c r="DX34" s="128"/>
      <c r="DY34" s="128"/>
      <c r="DZ34" s="128"/>
      <c r="EA34" s="128"/>
      <c r="EB34" s="128"/>
      <c r="EC34" s="128"/>
      <c r="ED34" s="128"/>
      <c r="EE34" s="128"/>
      <c r="EF34" s="128"/>
      <c r="EG34" s="128"/>
      <c r="EH34" s="128"/>
      <c r="EI34" s="128"/>
      <c r="EJ34" s="128"/>
      <c r="EK34" s="128"/>
    </row>
    <row r="35" spans="1:141" x14ac:dyDescent="0.4">
      <c r="A35" s="74">
        <f t="shared" si="0"/>
        <v>4</v>
      </c>
      <c r="B35" s="74">
        <v>31</v>
      </c>
      <c r="C35" s="127">
        <f>DATE(Jaartal,June!$B$3,June!$B35)</f>
        <v>44013</v>
      </c>
      <c r="D35" s="104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6"/>
      <c r="AI35" s="104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6"/>
      <c r="BN35" s="104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6"/>
      <c r="CS35" s="108"/>
      <c r="CT35" s="105"/>
      <c r="CU35" s="105"/>
      <c r="CV35" s="105"/>
      <c r="CW35" s="105"/>
      <c r="CX35" s="105"/>
      <c r="CY35" s="105"/>
      <c r="CZ35" s="105"/>
      <c r="DA35" s="105"/>
      <c r="DB35" s="105"/>
      <c r="DC35" s="105"/>
      <c r="DD35" s="105"/>
      <c r="DE35" s="105"/>
      <c r="DF35" s="105"/>
      <c r="DG35" s="105"/>
      <c r="DH35" s="105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6"/>
      <c r="DX35" s="128"/>
      <c r="DY35" s="128"/>
      <c r="DZ35" s="128"/>
      <c r="EA35" s="128"/>
      <c r="EB35" s="128"/>
      <c r="EC35" s="128"/>
      <c r="ED35" s="128"/>
      <c r="EE35" s="128"/>
      <c r="EF35" s="128"/>
      <c r="EG35" s="128"/>
      <c r="EH35" s="128"/>
      <c r="EI35" s="128"/>
      <c r="EJ35" s="128"/>
      <c r="EK35" s="128"/>
    </row>
    <row r="36" spans="1:141" x14ac:dyDescent="0.4">
      <c r="BR36" s="128"/>
      <c r="BS36" s="128"/>
      <c r="BT36" s="128"/>
      <c r="BU36" s="128"/>
      <c r="BV36" s="128"/>
      <c r="BY36" s="128"/>
      <c r="BZ36" s="128"/>
      <c r="CB36" s="128"/>
      <c r="CC36" s="128"/>
      <c r="CD36" s="128"/>
      <c r="CE36" s="128"/>
      <c r="CF36" s="128"/>
      <c r="CG36" s="128"/>
      <c r="CH36" s="128"/>
      <c r="CI36" s="128"/>
      <c r="CJ36" s="128"/>
      <c r="CK36" s="128"/>
      <c r="CL36" s="128"/>
      <c r="CM36" s="128"/>
      <c r="CN36" s="128"/>
      <c r="CO36" s="128"/>
      <c r="CP36" s="128"/>
      <c r="CQ36" s="128"/>
      <c r="CW36" s="128"/>
      <c r="CX36" s="128"/>
      <c r="CY36" s="128"/>
      <c r="CZ36" s="128"/>
      <c r="DA36" s="128"/>
      <c r="DD36" s="128"/>
      <c r="DE36" s="128"/>
      <c r="DG36" s="128"/>
      <c r="DH36" s="128"/>
      <c r="DI36" s="128"/>
      <c r="DJ36" s="128"/>
      <c r="DK36" s="128"/>
      <c r="DL36" s="128"/>
      <c r="DM36" s="128"/>
      <c r="DN36" s="128"/>
      <c r="DO36" s="128"/>
      <c r="DP36" s="128"/>
      <c r="DQ36" s="128"/>
      <c r="DR36" s="128"/>
      <c r="DS36" s="128"/>
      <c r="DT36" s="128"/>
      <c r="DU36" s="128"/>
      <c r="DV36" s="128"/>
    </row>
    <row r="38" spans="1:141" ht="13.5" thickBot="1" x14ac:dyDescent="0.45"/>
    <row r="39" spans="1:141" ht="13.5" thickBot="1" x14ac:dyDescent="0.45">
      <c r="D39" s="109" t="s">
        <v>7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1"/>
    </row>
    <row r="40" spans="1:141" ht="13.5" thickBot="1" x14ac:dyDescent="0.45">
      <c r="D40" s="112">
        <v>1</v>
      </c>
      <c r="E40" s="113" t="s">
        <v>4</v>
      </c>
      <c r="F40" s="113"/>
      <c r="G40" s="113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5"/>
    </row>
    <row r="41" spans="1:141" ht="13.5" thickBot="1" x14ac:dyDescent="0.45">
      <c r="D41" s="116">
        <v>2</v>
      </c>
      <c r="E41" s="117" t="s">
        <v>79</v>
      </c>
      <c r="F41" s="117"/>
      <c r="G41" s="117"/>
      <c r="H41" s="117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9"/>
    </row>
    <row r="42" spans="1:141" ht="13.5" thickBot="1" x14ac:dyDescent="0.45">
      <c r="D42" s="120">
        <v>3</v>
      </c>
      <c r="E42" s="117" t="s">
        <v>66</v>
      </c>
      <c r="F42" s="117"/>
      <c r="G42" s="117"/>
      <c r="H42" s="117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9"/>
    </row>
    <row r="43" spans="1:141" ht="13.5" thickBot="1" x14ac:dyDescent="0.45">
      <c r="D43" s="121"/>
      <c r="E43" s="122" t="s">
        <v>80</v>
      </c>
      <c r="F43" s="122"/>
      <c r="G43" s="122"/>
      <c r="H43" s="12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4"/>
    </row>
    <row r="44" spans="1:141" x14ac:dyDescent="0.4">
      <c r="D44" s="129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1"/>
      <c r="AI44" s="131"/>
      <c r="AR44" s="130"/>
      <c r="AS44" s="130"/>
      <c r="AV44" s="130"/>
      <c r="BW44" s="130"/>
      <c r="BX44" s="130"/>
      <c r="CA44" s="130"/>
      <c r="DB44" s="130"/>
      <c r="DC44" s="130"/>
      <c r="DF44" s="130"/>
    </row>
    <row r="52" spans="33:34" x14ac:dyDescent="0.4">
      <c r="AG52" s="128"/>
      <c r="AH52" s="128"/>
    </row>
    <row r="53" spans="33:34" x14ac:dyDescent="0.4">
      <c r="AG53" s="128"/>
      <c r="AH53" s="128"/>
    </row>
    <row r="54" spans="33:34" x14ac:dyDescent="0.4">
      <c r="AG54" s="128"/>
      <c r="AH54" s="128"/>
    </row>
    <row r="55" spans="33:34" x14ac:dyDescent="0.4">
      <c r="AG55" s="128"/>
      <c r="AH55" s="128"/>
    </row>
    <row r="56" spans="33:34" x14ac:dyDescent="0.4">
      <c r="AG56" s="128"/>
      <c r="AH56" s="128"/>
    </row>
  </sheetData>
  <sheetProtection sheet="1" objects="1" scenarios="1" selectLockedCells="1"/>
  <mergeCells count="13">
    <mergeCell ref="D39:AI39"/>
    <mergeCell ref="E40:AI40"/>
    <mergeCell ref="E41:AI41"/>
    <mergeCell ref="E42:AI42"/>
    <mergeCell ref="E43:AI43"/>
    <mergeCell ref="D1:AH1"/>
    <mergeCell ref="AI1:BM1"/>
    <mergeCell ref="BN1:CR1"/>
    <mergeCell ref="CS1:DW1"/>
    <mergeCell ref="AH3:AH4"/>
    <mergeCell ref="BM3:BM4"/>
    <mergeCell ref="CR3:CR4"/>
    <mergeCell ref="DW3:DW4"/>
  </mergeCells>
  <conditionalFormatting sqref="D5:L35 O5:P35 AT5:AU35 BY5:BZ35 DD5:DE35 R5:AQ35 AW5:BV35 CB5:DA35 DG5:DW35">
    <cfRule type="expression" dxfId="283" priority="33" stopIfTrue="1">
      <formula>D5=3</formula>
    </cfRule>
    <cfRule type="expression" dxfId="282" priority="34" stopIfTrue="1">
      <formula>D5=2</formula>
    </cfRule>
    <cfRule type="expression" dxfId="281" priority="35" stopIfTrue="1">
      <formula>D5=1</formula>
    </cfRule>
    <cfRule type="expression" dxfId="280" priority="36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279" priority="29" stopIfTrue="1">
      <formula>M5=3</formula>
    </cfRule>
    <cfRule type="expression" dxfId="278" priority="30" stopIfTrue="1">
      <formula>M5=2</formula>
    </cfRule>
    <cfRule type="expression" dxfId="277" priority="31" stopIfTrue="1">
      <formula>M5=1</formula>
    </cfRule>
    <cfRule type="expression" dxfId="276" priority="32" stopIfTrue="1">
      <formula>IF($A5=1,1,IF($A5=7,1,IF(M$2="Q",IF($A5=2,IF($B5&lt;8,IF(MOD($B$3,3)&lt;&gt;0,1,0),1),1),IF(M$2="M",IF($A5=2,IF($B5&gt;7,1,0),1),IF(M$2="W",IF($A5=2,0,1),0)))))</formula>
    </cfRule>
  </conditionalFormatting>
  <conditionalFormatting sqref="AR5:AS35">
    <cfRule type="expression" dxfId="275" priority="25" stopIfTrue="1">
      <formula>AR5=3</formula>
    </cfRule>
    <cfRule type="expression" dxfId="274" priority="26" stopIfTrue="1">
      <formula>AR5=2</formula>
    </cfRule>
    <cfRule type="expression" dxfId="273" priority="27" stopIfTrue="1">
      <formula>AR5=1</formula>
    </cfRule>
    <cfRule type="expression" dxfId="272" priority="28" stopIfTrue="1">
      <formula>IF($A5=1,1,IF($A5=7,1,IF(AR$2="Q",IF($A5=2,IF($B5&lt;8,IF(MOD($B$3,3)&lt;&gt;0,1,0),1),1),IF(AR$2="M",IF($A5=2,IF($B5&gt;7,1,0),1),IF(AR$2="W",IF($A5=2,0,1),0)))))</formula>
    </cfRule>
  </conditionalFormatting>
  <conditionalFormatting sqref="BW5:BX35">
    <cfRule type="expression" dxfId="271" priority="21" stopIfTrue="1">
      <formula>BW5=3</formula>
    </cfRule>
    <cfRule type="expression" dxfId="270" priority="22" stopIfTrue="1">
      <formula>BW5=2</formula>
    </cfRule>
    <cfRule type="expression" dxfId="269" priority="23" stopIfTrue="1">
      <formula>BW5=1</formula>
    </cfRule>
    <cfRule type="expression" dxfId="268" priority="24" stopIfTrue="1">
      <formula>IF($A5=1,1,IF($A5=7,1,IF(BW$2="Q",IF($A5=2,IF($B5&lt;8,IF(MOD($B$3,3)&lt;&gt;0,1,0),1),1),IF(BW$2="M",IF($A5=2,IF($B5&gt;7,1,0),1),IF(BW$2="W",IF($A5=2,0,1),0)))))</formula>
    </cfRule>
  </conditionalFormatting>
  <conditionalFormatting sqref="DB5:DC35">
    <cfRule type="expression" dxfId="267" priority="17" stopIfTrue="1">
      <formula>DB5=3</formula>
    </cfRule>
    <cfRule type="expression" dxfId="266" priority="18" stopIfTrue="1">
      <formula>DB5=2</formula>
    </cfRule>
    <cfRule type="expression" dxfId="265" priority="19" stopIfTrue="1">
      <formula>DB5=1</formula>
    </cfRule>
    <cfRule type="expression" dxfId="264" priority="20" stopIfTrue="1">
      <formula>IF($A5=1,1,IF($A5=7,1,IF(DB$2="Q",IF($A5=2,IF($B5&lt;8,IF(MOD($B$3,3)&lt;&gt;0,1,0),1),1),IF(DB$2="M",IF($A5=2,IF($B5&gt;7,1,0),1),IF(DB$2="W",IF($A5=2,0,1),0)))))</formula>
    </cfRule>
  </conditionalFormatting>
  <conditionalFormatting sqref="Q5:Q35">
    <cfRule type="expression" dxfId="263" priority="13" stopIfTrue="1">
      <formula>Q5=3</formula>
    </cfRule>
    <cfRule type="expression" dxfId="262" priority="14" stopIfTrue="1">
      <formula>Q5=2</formula>
    </cfRule>
    <cfRule type="expression" dxfId="261" priority="15" stopIfTrue="1">
      <formula>Q5=1</formula>
    </cfRule>
    <cfRule type="expression" dxfId="260" priority="16" stopIfTrue="1">
      <formula>IF($A5=1,1,IF($A5=7,1,IF(Q$2="Q",IF($A5=2,IF($B5&lt;8,IF(MOD($B$3,3)&lt;&gt;0,1,0),1),1),IF(Q$2="M",IF($A5=2,IF($B5&gt;7,1,0),1),IF(Q$2="W",IF($A5=2,0,1),0)))))</formula>
    </cfRule>
  </conditionalFormatting>
  <conditionalFormatting sqref="AV5:AV35">
    <cfRule type="expression" dxfId="259" priority="9" stopIfTrue="1">
      <formula>AV5=3</formula>
    </cfRule>
    <cfRule type="expression" dxfId="258" priority="10" stopIfTrue="1">
      <formula>AV5=2</formula>
    </cfRule>
    <cfRule type="expression" dxfId="257" priority="11" stopIfTrue="1">
      <formula>AV5=1</formula>
    </cfRule>
    <cfRule type="expression" dxfId="256" priority="12" stopIfTrue="1">
      <formula>IF($A5=1,1,IF($A5=7,1,IF(AV$2="Q",IF($A5=2,IF($B5&lt;8,IF(MOD($B$3,3)&lt;&gt;0,1,0),1),1),IF(AV$2="M",IF($A5=2,IF($B5&gt;7,1,0),1),IF(AV$2="W",IF($A5=2,0,1),0)))))</formula>
    </cfRule>
  </conditionalFormatting>
  <conditionalFormatting sqref="CA5:CA35">
    <cfRule type="expression" dxfId="255" priority="5" stopIfTrue="1">
      <formula>CA5=3</formula>
    </cfRule>
    <cfRule type="expression" dxfId="254" priority="6" stopIfTrue="1">
      <formula>CA5=2</formula>
    </cfRule>
    <cfRule type="expression" dxfId="253" priority="7" stopIfTrue="1">
      <formula>CA5=1</formula>
    </cfRule>
    <cfRule type="expression" dxfId="252" priority="8" stopIfTrue="1">
      <formula>IF($A5=1,1,IF($A5=7,1,IF(CA$2="Q",IF($A5=2,IF($B5&lt;8,IF(MOD($B$3,3)&lt;&gt;0,1,0),1),1),IF(CA$2="M",IF($A5=2,IF($B5&gt;7,1,0),1),IF(CA$2="W",IF($A5=2,0,1),0)))))</formula>
    </cfRule>
  </conditionalFormatting>
  <conditionalFormatting sqref="DF5:DF35">
    <cfRule type="expression" dxfId="251" priority="1" stopIfTrue="1">
      <formula>DF5=3</formula>
    </cfRule>
    <cfRule type="expression" dxfId="250" priority="2" stopIfTrue="1">
      <formula>DF5=2</formula>
    </cfRule>
    <cfRule type="expression" dxfId="249" priority="3" stopIfTrue="1">
      <formula>DF5=1</formula>
    </cfRule>
    <cfRule type="expression" dxfId="248" priority="4" stopIfTrue="1">
      <formula>IF($A5=1,1,IF($A5=7,1,IF(DF$2="Q",IF($A5=2,IF($B5&lt;8,IF(MOD($B$3,3)&lt;&gt;0,1,0),1),1),IF(DF$2="M",IF($A5=2,IF($B5&gt;7,1,0),1),IF(DF$2="W",IF($A5=2,0,1),0)))))</formula>
    </cfRule>
  </conditionalFormatting>
  <dataValidations count="4">
    <dataValidation type="list" allowBlank="1" showInputMessage="1" showErrorMessage="1" sqref="DB2:DC2 AR2:AS2 BW2:BX2 D2:AG2 AV2 CA2 DF2" xr:uid="{98DC66D5-4154-4D6B-8195-B070CC2EA439}">
      <formula1>"D,W,M,Q"</formula1>
    </dataValidation>
    <dataValidation type="list" allowBlank="1" showInputMessage="1" showErrorMessage="1" sqref="DW5:DW35 CR5:CR35 BM5:BM35 AH5:AH35" xr:uid="{B9C65CDE-4CA8-452F-BB37-39B54A0558AF}">
      <formula1>List_Personen</formula1>
    </dataValidation>
    <dataValidation type="list" allowBlank="1" showInputMessage="1" showErrorMessage="1" sqref="C3" xr:uid="{99C3C0A4-8103-46BB-9350-98FB9FC381D6}">
      <formula1>List_Maanden</formula1>
    </dataValidation>
    <dataValidation type="list" allowBlank="1" showInputMessage="1" showErrorMessage="1" sqref="BN5:CQ35 D5:AG35 AI5:BL35 CS5:DV35" xr:uid="{D8313052-F096-456B-B8D3-4103B93B6669}">
      <formula1>Status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4F27D-63AC-41FC-8AB4-23E461561DB9}">
  <sheetPr codeName="Sheet12"/>
  <dimension ref="A1:EK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3.15" x14ac:dyDescent="0.4"/>
  <cols>
    <col min="1" max="1" width="8.796875" style="74" hidden="1" customWidth="1"/>
    <col min="2" max="2" width="4.265625" style="74" hidden="1" customWidth="1"/>
    <col min="3" max="3" width="25.73046875" style="74" bestFit="1" customWidth="1"/>
    <col min="4" max="5" width="3.19921875" style="74" bestFit="1" customWidth="1"/>
    <col min="6" max="8" width="3.19921875" style="74" customWidth="1"/>
    <col min="9" max="10" width="3.19921875" style="74" bestFit="1" customWidth="1"/>
    <col min="11" max="18" width="3.19921875" style="74" customWidth="1"/>
    <col min="19" max="19" width="3.19921875" style="74" bestFit="1" customWidth="1"/>
    <col min="20" max="24" width="3.19921875" style="74" customWidth="1"/>
    <col min="25" max="25" width="3.19921875" style="74" bestFit="1" customWidth="1"/>
    <col min="26" max="32" width="3.19921875" style="74" customWidth="1"/>
    <col min="33" max="33" width="2.73046875" style="74" bestFit="1" customWidth="1"/>
    <col min="34" max="34" width="14" style="74" bestFit="1" customWidth="1"/>
    <col min="35" max="39" width="3.19921875" style="74" bestFit="1" customWidth="1"/>
    <col min="40" max="46" width="3.19921875" style="74" customWidth="1"/>
    <col min="47" max="47" width="3.19921875" style="74" bestFit="1" customWidth="1"/>
    <col min="48" max="48" width="3.19921875" style="74" customWidth="1"/>
    <col min="49" max="49" width="3.19921875" style="74" bestFit="1" customWidth="1"/>
    <col min="50" max="50" width="2.73046875" style="74" bestFit="1" customWidth="1"/>
    <col min="51" max="64" width="2.73046875" style="74" customWidth="1"/>
    <col min="65" max="65" width="14" style="74" bestFit="1" customWidth="1"/>
    <col min="66" max="70" width="3.19921875" style="74" bestFit="1" customWidth="1"/>
    <col min="71" max="77" width="3.19921875" style="74" customWidth="1"/>
    <col min="78" max="78" width="3.19921875" style="74" bestFit="1" customWidth="1"/>
    <col min="79" max="79" width="3.19921875" style="74" customWidth="1"/>
    <col min="80" max="80" width="3.19921875" style="74" bestFit="1" customWidth="1"/>
    <col min="81" max="81" width="2.73046875" style="74" bestFit="1" customWidth="1"/>
    <col min="82" max="95" width="2.73046875" style="74" customWidth="1"/>
    <col min="96" max="96" width="14" style="74" bestFit="1" customWidth="1"/>
    <col min="97" max="102" width="3.19921875" style="74" bestFit="1" customWidth="1"/>
    <col min="103" max="110" width="3.19921875" style="74" customWidth="1"/>
    <col min="111" max="111" width="3.19921875" style="74" bestFit="1" customWidth="1"/>
    <col min="112" max="112" width="2.73046875" style="74" bestFit="1" customWidth="1"/>
    <col min="113" max="126" width="2.73046875" style="74" customWidth="1"/>
    <col min="127" max="127" width="14" style="74" bestFit="1" customWidth="1"/>
    <col min="128" max="128" width="6" style="74" customWidth="1"/>
    <col min="129" max="16384" width="9.06640625" style="74"/>
  </cols>
  <sheetData>
    <row r="1" spans="1:141" ht="18.399999999999999" thickBot="1" x14ac:dyDescent="0.6">
      <c r="C1" s="75" t="s">
        <v>5</v>
      </c>
      <c r="D1" s="76" t="s">
        <v>44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8"/>
      <c r="AI1" s="79" t="s">
        <v>45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1"/>
      <c r="BN1" s="82" t="s">
        <v>46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4"/>
      <c r="CS1" s="85" t="s">
        <v>47</v>
      </c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7"/>
    </row>
    <row r="2" spans="1:141" ht="13.5" thickBot="1" x14ac:dyDescent="0.45">
      <c r="A2" s="74" t="s">
        <v>13</v>
      </c>
      <c r="B2" s="74" t="s">
        <v>14</v>
      </c>
      <c r="C2" s="88" t="s">
        <v>3</v>
      </c>
      <c r="D2" s="89" t="str">
        <f>+Template!D2</f>
        <v>D</v>
      </c>
      <c r="E2" s="90" t="str">
        <f>+Template!E2</f>
        <v>D</v>
      </c>
      <c r="F2" s="90" t="str">
        <f>+Template!F2</f>
        <v>D</v>
      </c>
      <c r="G2" s="90" t="str">
        <f>+Template!G2</f>
        <v>D</v>
      </c>
      <c r="H2" s="90" t="str">
        <f>+Template!H2</f>
        <v>D</v>
      </c>
      <c r="I2" s="91" t="str">
        <f>+Template!I2</f>
        <v>D</v>
      </c>
      <c r="J2" s="91" t="str">
        <f>+Template!J2</f>
        <v>D</v>
      </c>
      <c r="K2" s="91" t="str">
        <f>+Template!K2</f>
        <v>D</v>
      </c>
      <c r="L2" s="91" t="str">
        <f>+Template!L2</f>
        <v>D</v>
      </c>
      <c r="M2" s="91" t="s">
        <v>2</v>
      </c>
      <c r="N2" s="91" t="s">
        <v>2</v>
      </c>
      <c r="O2" s="91" t="str">
        <f>+Template!O2</f>
        <v>D</v>
      </c>
      <c r="P2" s="91" t="str">
        <f>+Template!P2</f>
        <v>D</v>
      </c>
      <c r="Q2" s="91" t="s">
        <v>2</v>
      </c>
      <c r="R2" s="91" t="str">
        <f>+Template!R2</f>
        <v>D</v>
      </c>
      <c r="S2" s="91" t="str">
        <f>+Template!S2</f>
        <v>D</v>
      </c>
      <c r="T2" s="91" t="str">
        <f>+Template!T2</f>
        <v>D</v>
      </c>
      <c r="U2" s="91" t="str">
        <f>+Template!U2</f>
        <v>D</v>
      </c>
      <c r="V2" s="91" t="str">
        <f>+Template!V2</f>
        <v>D</v>
      </c>
      <c r="W2" s="91" t="str">
        <f>+Template!W2</f>
        <v>D</v>
      </c>
      <c r="X2" s="91" t="str">
        <f>+Template!X2</f>
        <v>W</v>
      </c>
      <c r="Y2" s="91" t="str">
        <f>+Template!Y2</f>
        <v>W</v>
      </c>
      <c r="Z2" s="91" t="str">
        <f>+Template!Z2</f>
        <v>W</v>
      </c>
      <c r="AA2" s="91" t="str">
        <f>+Template!AA2</f>
        <v>W</v>
      </c>
      <c r="AB2" s="91" t="str">
        <f>+Template!AB2</f>
        <v>M</v>
      </c>
      <c r="AC2" s="91" t="str">
        <f>+Template!AC2</f>
        <v>M</v>
      </c>
      <c r="AD2" s="91" t="str">
        <f>+Template!AD2</f>
        <v>M</v>
      </c>
      <c r="AE2" s="91" t="str">
        <f>+Template!AE2</f>
        <v>M</v>
      </c>
      <c r="AF2" s="91" t="str">
        <f>+Template!AF2</f>
        <v>Q</v>
      </c>
      <c r="AG2" s="91" t="str">
        <f>+Template!AG2</f>
        <v>Q</v>
      </c>
      <c r="AH2" s="92"/>
      <c r="AI2" s="89" t="str">
        <f>+Template!D2</f>
        <v>D</v>
      </c>
      <c r="AJ2" s="90" t="str">
        <f>+Template!E2</f>
        <v>D</v>
      </c>
      <c r="AK2" s="90" t="str">
        <f>+Template!F2</f>
        <v>D</v>
      </c>
      <c r="AL2" s="90" t="str">
        <f>+Template!G2</f>
        <v>D</v>
      </c>
      <c r="AM2" s="90" t="str">
        <f>+Template!H2</f>
        <v>D</v>
      </c>
      <c r="AN2" s="90" t="str">
        <f>+Template!I2</f>
        <v>D</v>
      </c>
      <c r="AO2" s="90" t="str">
        <f>+Template!J2</f>
        <v>D</v>
      </c>
      <c r="AP2" s="90" t="str">
        <f>+Template!K2</f>
        <v>D</v>
      </c>
      <c r="AQ2" s="90" t="str">
        <f>+Template!L2</f>
        <v>D</v>
      </c>
      <c r="AR2" s="91" t="s">
        <v>2</v>
      </c>
      <c r="AS2" s="91" t="s">
        <v>2</v>
      </c>
      <c r="AT2" s="90" t="str">
        <f>+Template!O2</f>
        <v>D</v>
      </c>
      <c r="AU2" s="91" t="str">
        <f>+Template!P2</f>
        <v>D</v>
      </c>
      <c r="AV2" s="91" t="s">
        <v>2</v>
      </c>
      <c r="AW2" s="91" t="str">
        <f>+Template!R2</f>
        <v>D</v>
      </c>
      <c r="AX2" s="91" t="str">
        <f>+Template!S2</f>
        <v>D</v>
      </c>
      <c r="AY2" s="91" t="str">
        <f>+Template!T2</f>
        <v>D</v>
      </c>
      <c r="AZ2" s="91" t="str">
        <f>+Template!U2</f>
        <v>D</v>
      </c>
      <c r="BA2" s="91" t="str">
        <f>+Template!V2</f>
        <v>D</v>
      </c>
      <c r="BB2" s="91" t="str">
        <f>+Template!W2</f>
        <v>D</v>
      </c>
      <c r="BC2" s="91" t="str">
        <f>+Template!X2</f>
        <v>W</v>
      </c>
      <c r="BD2" s="91" t="str">
        <f>+Template!Y2</f>
        <v>W</v>
      </c>
      <c r="BE2" s="91" t="str">
        <f>+Template!Z2</f>
        <v>W</v>
      </c>
      <c r="BF2" s="91" t="str">
        <f>+Template!AA2</f>
        <v>W</v>
      </c>
      <c r="BG2" s="91" t="str">
        <f>+Template!AB2</f>
        <v>M</v>
      </c>
      <c r="BH2" s="91" t="str">
        <f>+Template!AC2</f>
        <v>M</v>
      </c>
      <c r="BI2" s="91" t="str">
        <f>+Template!AD2</f>
        <v>M</v>
      </c>
      <c r="BJ2" s="91" t="str">
        <f>+Template!AE2</f>
        <v>M</v>
      </c>
      <c r="BK2" s="91" t="str">
        <f>+Template!AF2</f>
        <v>Q</v>
      </c>
      <c r="BL2" s="91" t="str">
        <f>+Template!AG2</f>
        <v>Q</v>
      </c>
      <c r="BM2" s="92"/>
      <c r="BN2" s="89" t="str">
        <f>+Template!D2</f>
        <v>D</v>
      </c>
      <c r="BO2" s="90" t="str">
        <f>+Template!E2</f>
        <v>D</v>
      </c>
      <c r="BP2" s="90" t="str">
        <f>+Template!F2</f>
        <v>D</v>
      </c>
      <c r="BQ2" s="90" t="str">
        <f>+Template!G2</f>
        <v>D</v>
      </c>
      <c r="BR2" s="90" t="str">
        <f>+Template!H2</f>
        <v>D</v>
      </c>
      <c r="BS2" s="90" t="str">
        <f>+Template!I2</f>
        <v>D</v>
      </c>
      <c r="BT2" s="90" t="str">
        <f>+Template!J2</f>
        <v>D</v>
      </c>
      <c r="BU2" s="90" t="str">
        <f>+Template!K2</f>
        <v>D</v>
      </c>
      <c r="BV2" s="90" t="str">
        <f>+Template!L2</f>
        <v>D</v>
      </c>
      <c r="BW2" s="91" t="s">
        <v>2</v>
      </c>
      <c r="BX2" s="91" t="s">
        <v>2</v>
      </c>
      <c r="BY2" s="90" t="str">
        <f>+Template!O2</f>
        <v>D</v>
      </c>
      <c r="BZ2" s="91" t="str">
        <f>+Template!P2</f>
        <v>D</v>
      </c>
      <c r="CA2" s="91" t="s">
        <v>2</v>
      </c>
      <c r="CB2" s="91" t="str">
        <f>+Template!R2</f>
        <v>D</v>
      </c>
      <c r="CC2" s="91" t="str">
        <f>+Template!S2</f>
        <v>D</v>
      </c>
      <c r="CD2" s="91" t="str">
        <f>+Template!T2</f>
        <v>D</v>
      </c>
      <c r="CE2" s="91" t="str">
        <f>+Template!U2</f>
        <v>D</v>
      </c>
      <c r="CF2" s="91" t="str">
        <f>+Template!V2</f>
        <v>D</v>
      </c>
      <c r="CG2" s="91" t="str">
        <f>+Template!W2</f>
        <v>D</v>
      </c>
      <c r="CH2" s="91" t="str">
        <f>+Template!X2</f>
        <v>W</v>
      </c>
      <c r="CI2" s="91" t="str">
        <f>+Template!Y2</f>
        <v>W</v>
      </c>
      <c r="CJ2" s="91" t="str">
        <f>+Template!Z2</f>
        <v>W</v>
      </c>
      <c r="CK2" s="91" t="str">
        <f>+Template!AA2</f>
        <v>W</v>
      </c>
      <c r="CL2" s="91" t="str">
        <f>+Template!AB2</f>
        <v>M</v>
      </c>
      <c r="CM2" s="91" t="str">
        <f>+Template!AC2</f>
        <v>M</v>
      </c>
      <c r="CN2" s="91" t="str">
        <f>+Template!AD2</f>
        <v>M</v>
      </c>
      <c r="CO2" s="91" t="str">
        <f>+Template!AE2</f>
        <v>M</v>
      </c>
      <c r="CP2" s="91" t="str">
        <f>+Template!AF2</f>
        <v>Q</v>
      </c>
      <c r="CQ2" s="91" t="str">
        <f>+Template!AG2</f>
        <v>Q</v>
      </c>
      <c r="CR2" s="92"/>
      <c r="CS2" s="89" t="str">
        <f>+Template!D2</f>
        <v>D</v>
      </c>
      <c r="CT2" s="90" t="str">
        <f>+Template!E2</f>
        <v>D</v>
      </c>
      <c r="CU2" s="90" t="str">
        <f>+Template!F2</f>
        <v>D</v>
      </c>
      <c r="CV2" s="90" t="str">
        <f>+Template!G2</f>
        <v>D</v>
      </c>
      <c r="CW2" s="90" t="str">
        <f>+Template!H2</f>
        <v>D</v>
      </c>
      <c r="CX2" s="91" t="str">
        <f>+Template!I2</f>
        <v>D</v>
      </c>
      <c r="CY2" s="91" t="str">
        <f>+Template!J2</f>
        <v>D</v>
      </c>
      <c r="CZ2" s="91" t="str">
        <f>+Template!K2</f>
        <v>D</v>
      </c>
      <c r="DA2" s="91" t="str">
        <f>+Template!L2</f>
        <v>D</v>
      </c>
      <c r="DB2" s="91" t="s">
        <v>2</v>
      </c>
      <c r="DC2" s="91" t="s">
        <v>2</v>
      </c>
      <c r="DD2" s="91" t="str">
        <f>+Template!O2</f>
        <v>D</v>
      </c>
      <c r="DE2" s="91" t="str">
        <f>+Template!P2</f>
        <v>D</v>
      </c>
      <c r="DF2" s="91" t="s">
        <v>2</v>
      </c>
      <c r="DG2" s="91" t="str">
        <f>+Template!R2</f>
        <v>D</v>
      </c>
      <c r="DH2" s="91" t="str">
        <f>+Template!S2</f>
        <v>D</v>
      </c>
      <c r="DI2" s="91" t="str">
        <f>+Template!T2</f>
        <v>D</v>
      </c>
      <c r="DJ2" s="91" t="str">
        <f>+Template!U2</f>
        <v>D</v>
      </c>
      <c r="DK2" s="91" t="str">
        <f>+Template!V2</f>
        <v>D</v>
      </c>
      <c r="DL2" s="91" t="str">
        <f>+Template!W2</f>
        <v>D</v>
      </c>
      <c r="DM2" s="91" t="str">
        <f>+Template!X2</f>
        <v>W</v>
      </c>
      <c r="DN2" s="91" t="str">
        <f>+Template!Y2</f>
        <v>W</v>
      </c>
      <c r="DO2" s="91" t="str">
        <f>+Template!Z2</f>
        <v>W</v>
      </c>
      <c r="DP2" s="91" t="str">
        <f>+Template!AA2</f>
        <v>W</v>
      </c>
      <c r="DQ2" s="91" t="str">
        <f>+Template!AB2</f>
        <v>M</v>
      </c>
      <c r="DR2" s="91" t="str">
        <f>+Template!AC2</f>
        <v>M</v>
      </c>
      <c r="DS2" s="91" t="str">
        <f>+Template!AD2</f>
        <v>M</v>
      </c>
      <c r="DT2" s="91" t="str">
        <f>+Template!AE2</f>
        <v>M</v>
      </c>
      <c r="DU2" s="91" t="str">
        <f>+Template!AF2</f>
        <v>Q</v>
      </c>
      <c r="DV2" s="91" t="str">
        <f>+Template!AG2</f>
        <v>Q</v>
      </c>
      <c r="DW2" s="92"/>
    </row>
    <row r="3" spans="1:141" ht="150" x14ac:dyDescent="0.4">
      <c r="B3" s="74">
        <f>VLOOKUP(C3,Data!E2:F13,2,FALSE)</f>
        <v>7</v>
      </c>
      <c r="C3" s="93" t="s">
        <v>62</v>
      </c>
      <c r="D3" s="94" t="str">
        <f>+Template!D3</f>
        <v>Quick environment check</v>
      </c>
      <c r="E3" s="95" t="str">
        <f>+Template!E3</f>
        <v>Health Analyzer Issues</v>
      </c>
      <c r="F3" s="95" t="str">
        <f>+Template!F3</f>
        <v>Content Database Status</v>
      </c>
      <c r="G3" s="95" t="str">
        <f>+Template!G3</f>
        <v>Upgrade Status Servers</v>
      </c>
      <c r="H3" s="95" t="str">
        <f>+Template!H3</f>
        <v>Upgrade Status Databases</v>
      </c>
      <c r="I3" s="95" t="str">
        <f>+Template!I3</f>
        <v>Failed Timer Jobs</v>
      </c>
      <c r="J3" s="95" t="str">
        <f>+Template!J3</f>
        <v>Deployment Status Solutions</v>
      </c>
      <c r="K3" s="95" t="str">
        <f>+Template!K3</f>
        <v>Content Database Size</v>
      </c>
      <c r="L3" s="95" t="str">
        <f>+Template!L3</f>
        <v>Service Application Status</v>
      </c>
      <c r="M3" s="95" t="s">
        <v>98</v>
      </c>
      <c r="N3" s="95" t="s">
        <v>99</v>
      </c>
      <c r="O3" s="95" t="str">
        <f>+Template!O3</f>
        <v>Search Topology</v>
      </c>
      <c r="P3" s="95" t="str">
        <f>+Template!P3</f>
        <v>Search Gatherer Logs</v>
      </c>
      <c r="Q3" s="95" t="s">
        <v>100</v>
      </c>
      <c r="R3" s="95" t="str">
        <f>+Template!R3</f>
        <v>Last Boot Time</v>
      </c>
      <c r="S3" s="95" t="str">
        <f>+Template!S3</f>
        <v>Running Services Check</v>
      </c>
      <c r="T3" s="95" t="str">
        <f>+Template!T3</f>
        <v>Scheduled Tasks</v>
      </c>
      <c r="U3" s="95" t="str">
        <f>+Template!U3</f>
        <v>Running websites en application pools</v>
      </c>
      <c r="V3" s="95" t="str">
        <f>+Template!V3</f>
        <v>Group Membership Check</v>
      </c>
      <c r="W3" s="95" t="str">
        <f>+Template!W3</f>
        <v>Backup Status</v>
      </c>
      <c r="X3" s="95" t="str">
        <f>+Template!X3</f>
        <v>Permissions Check</v>
      </c>
      <c r="Y3" s="95" t="str">
        <f>+Template!Y3</f>
        <v>New Updates</v>
      </c>
      <c r="Z3" s="95" t="str">
        <f>+Template!Z3</f>
        <v>Baseline Settings</v>
      </c>
      <c r="AA3" s="95" t="str">
        <f>+Template!AA3</f>
        <v>Access Check</v>
      </c>
      <c r="AB3" s="95" t="str">
        <f>+Template!AB3</f>
        <v>Missing Security Updates/Service Packs</v>
      </c>
      <c r="AC3" s="95" t="str">
        <f>+Template!AC3</f>
        <v>Policy Compliance</v>
      </c>
      <c r="AD3" s="95" t="str">
        <f>+Template!AD3</f>
        <v>Documentation Check</v>
      </c>
      <c r="AE3" s="95" t="str">
        <f>+Template!AE3</f>
        <v>SSL Certificates Check</v>
      </c>
      <c r="AF3" s="95" t="str">
        <f>+Template!AF3</f>
        <v>Disaster Recovery Test</v>
      </c>
      <c r="AG3" s="95" t="str">
        <f>+Template!AG3</f>
        <v>Lifecycle Check</v>
      </c>
      <c r="AH3" s="96" t="str">
        <f>+Template!AH3</f>
        <v>Performed by:</v>
      </c>
      <c r="AI3" s="94" t="str">
        <f>+Template!D3</f>
        <v>Quick environment check</v>
      </c>
      <c r="AJ3" s="95" t="str">
        <f>+Template!E3</f>
        <v>Health Analyzer Issues</v>
      </c>
      <c r="AK3" s="95" t="str">
        <f>+Template!F3</f>
        <v>Content Database Status</v>
      </c>
      <c r="AL3" s="95" t="str">
        <f>+Template!G3</f>
        <v>Upgrade Status Servers</v>
      </c>
      <c r="AM3" s="95" t="str">
        <f>+Template!H3</f>
        <v>Upgrade Status Databases</v>
      </c>
      <c r="AN3" s="95" t="str">
        <f>+Template!I3</f>
        <v>Failed Timer Jobs</v>
      </c>
      <c r="AO3" s="95" t="str">
        <f>+Template!J3</f>
        <v>Deployment Status Solutions</v>
      </c>
      <c r="AP3" s="95" t="str">
        <f>+Template!K3</f>
        <v>Content Database Size</v>
      </c>
      <c r="AQ3" s="95" t="str">
        <f>+Template!L3</f>
        <v>Service Application Status</v>
      </c>
      <c r="AR3" s="95" t="s">
        <v>98</v>
      </c>
      <c r="AS3" s="95" t="s">
        <v>99</v>
      </c>
      <c r="AT3" s="95" t="str">
        <f>+Template!O3</f>
        <v>Search Topology</v>
      </c>
      <c r="AU3" s="95" t="str">
        <f>+Template!P3</f>
        <v>Search Gatherer Logs</v>
      </c>
      <c r="AV3" s="95" t="s">
        <v>100</v>
      </c>
      <c r="AW3" s="95" t="str">
        <f>+Template!R3</f>
        <v>Last Boot Time</v>
      </c>
      <c r="AX3" s="95" t="str">
        <f>+Template!S3</f>
        <v>Running Services Check</v>
      </c>
      <c r="AY3" s="95" t="str">
        <f>+Template!T3</f>
        <v>Scheduled Tasks</v>
      </c>
      <c r="AZ3" s="95" t="str">
        <f>+Template!U3</f>
        <v>Running websites en application pools</v>
      </c>
      <c r="BA3" s="95" t="str">
        <f>+Template!V3</f>
        <v>Group Membership Check</v>
      </c>
      <c r="BB3" s="95" t="str">
        <f>+Template!W3</f>
        <v>Backup Status</v>
      </c>
      <c r="BC3" s="95" t="str">
        <f>+Template!X3</f>
        <v>Permissions Check</v>
      </c>
      <c r="BD3" s="95" t="str">
        <f>+Template!Y3</f>
        <v>New Updates</v>
      </c>
      <c r="BE3" s="95" t="str">
        <f>+Template!Z3</f>
        <v>Baseline Settings</v>
      </c>
      <c r="BF3" s="95" t="str">
        <f>+Template!AA3</f>
        <v>Access Check</v>
      </c>
      <c r="BG3" s="95" t="str">
        <f>+Template!AB3</f>
        <v>Missing Security Updates/Service Packs</v>
      </c>
      <c r="BH3" s="95" t="str">
        <f>+Template!AC3</f>
        <v>Policy Compliance</v>
      </c>
      <c r="BI3" s="95" t="str">
        <f>+Template!AD3</f>
        <v>Documentation Check</v>
      </c>
      <c r="BJ3" s="95" t="str">
        <f>+Template!AE3</f>
        <v>SSL Certificates Check</v>
      </c>
      <c r="BK3" s="95" t="str">
        <f>+Template!AF3</f>
        <v>Disaster Recovery Test</v>
      </c>
      <c r="BL3" s="95" t="str">
        <f>+Template!AG3</f>
        <v>Lifecycle Check</v>
      </c>
      <c r="BM3" s="96" t="str">
        <f>+Template!AH3</f>
        <v>Performed by:</v>
      </c>
      <c r="BN3" s="94" t="str">
        <f>+Template!D3</f>
        <v>Quick environment check</v>
      </c>
      <c r="BO3" s="95" t="str">
        <f>+Template!E3</f>
        <v>Health Analyzer Issues</v>
      </c>
      <c r="BP3" s="95" t="str">
        <f>+Template!F3</f>
        <v>Content Database Status</v>
      </c>
      <c r="BQ3" s="95" t="str">
        <f>+Template!G3</f>
        <v>Upgrade Status Servers</v>
      </c>
      <c r="BR3" s="95" t="str">
        <f>+Template!H3</f>
        <v>Upgrade Status Databases</v>
      </c>
      <c r="BS3" s="95" t="str">
        <f>+Template!I3</f>
        <v>Failed Timer Jobs</v>
      </c>
      <c r="BT3" s="95" t="str">
        <f>+Template!J3</f>
        <v>Deployment Status Solutions</v>
      </c>
      <c r="BU3" s="95" t="str">
        <f>+Template!K3</f>
        <v>Content Database Size</v>
      </c>
      <c r="BV3" s="95" t="str">
        <f>+Template!L3</f>
        <v>Service Application Status</v>
      </c>
      <c r="BW3" s="95" t="s">
        <v>98</v>
      </c>
      <c r="BX3" s="95" t="s">
        <v>99</v>
      </c>
      <c r="BY3" s="95" t="str">
        <f>+Template!O3</f>
        <v>Search Topology</v>
      </c>
      <c r="BZ3" s="95" t="str">
        <f>+Template!P3</f>
        <v>Search Gatherer Logs</v>
      </c>
      <c r="CA3" s="95" t="s">
        <v>100</v>
      </c>
      <c r="CB3" s="95" t="str">
        <f>+Template!R3</f>
        <v>Last Boot Time</v>
      </c>
      <c r="CC3" s="95" t="str">
        <f>+Template!S3</f>
        <v>Running Services Check</v>
      </c>
      <c r="CD3" s="95" t="str">
        <f>+Template!T3</f>
        <v>Scheduled Tasks</v>
      </c>
      <c r="CE3" s="95" t="str">
        <f>+Template!U3</f>
        <v>Running websites en application pools</v>
      </c>
      <c r="CF3" s="95" t="str">
        <f>+Template!V3</f>
        <v>Group Membership Check</v>
      </c>
      <c r="CG3" s="95" t="str">
        <f>+Template!W3</f>
        <v>Backup Status</v>
      </c>
      <c r="CH3" s="95" t="str">
        <f>+Template!X3</f>
        <v>Permissions Check</v>
      </c>
      <c r="CI3" s="95" t="str">
        <f>+Template!Y3</f>
        <v>New Updates</v>
      </c>
      <c r="CJ3" s="95" t="str">
        <f>+Template!Z3</f>
        <v>Baseline Settings</v>
      </c>
      <c r="CK3" s="95" t="str">
        <f>+Template!AA3</f>
        <v>Access Check</v>
      </c>
      <c r="CL3" s="95" t="str">
        <f>+Template!AB3</f>
        <v>Missing Security Updates/Service Packs</v>
      </c>
      <c r="CM3" s="95" t="str">
        <f>+Template!AC3</f>
        <v>Policy Compliance</v>
      </c>
      <c r="CN3" s="95" t="str">
        <f>+Template!AD3</f>
        <v>Documentation Check</v>
      </c>
      <c r="CO3" s="95" t="str">
        <f>+Template!AE3</f>
        <v>SSL Certificates Check</v>
      </c>
      <c r="CP3" s="95" t="str">
        <f>+Template!AF3</f>
        <v>Disaster Recovery Test</v>
      </c>
      <c r="CQ3" s="95" t="str">
        <f>+Template!AG3</f>
        <v>Lifecycle Check</v>
      </c>
      <c r="CR3" s="96" t="str">
        <f>+Template!AH3</f>
        <v>Performed by:</v>
      </c>
      <c r="CS3" s="94" t="str">
        <f>+Template!D3</f>
        <v>Quick environment check</v>
      </c>
      <c r="CT3" s="95" t="str">
        <f>+Template!E3</f>
        <v>Health Analyzer Issues</v>
      </c>
      <c r="CU3" s="95" t="str">
        <f>+Template!F3</f>
        <v>Content Database Status</v>
      </c>
      <c r="CV3" s="95" t="str">
        <f>+Template!G3</f>
        <v>Upgrade Status Servers</v>
      </c>
      <c r="CW3" s="95" t="str">
        <f>+Template!H3</f>
        <v>Upgrade Status Databases</v>
      </c>
      <c r="CX3" s="95" t="str">
        <f>+Template!I3</f>
        <v>Failed Timer Jobs</v>
      </c>
      <c r="CY3" s="95" t="str">
        <f>+Template!J3</f>
        <v>Deployment Status Solutions</v>
      </c>
      <c r="CZ3" s="95" t="str">
        <f>+Template!K3</f>
        <v>Content Database Size</v>
      </c>
      <c r="DA3" s="95" t="str">
        <f>+Template!L3</f>
        <v>Service Application Status</v>
      </c>
      <c r="DB3" s="95" t="s">
        <v>98</v>
      </c>
      <c r="DC3" s="95" t="s">
        <v>99</v>
      </c>
      <c r="DD3" s="95" t="str">
        <f>+Template!O3</f>
        <v>Search Topology</v>
      </c>
      <c r="DE3" s="95" t="str">
        <f>+Template!P3</f>
        <v>Search Gatherer Logs</v>
      </c>
      <c r="DF3" s="95" t="s">
        <v>100</v>
      </c>
      <c r="DG3" s="95" t="str">
        <f>+Template!R3</f>
        <v>Last Boot Time</v>
      </c>
      <c r="DH3" s="95" t="str">
        <f>+Template!S3</f>
        <v>Running Services Check</v>
      </c>
      <c r="DI3" s="95" t="str">
        <f>+Template!T3</f>
        <v>Scheduled Tasks</v>
      </c>
      <c r="DJ3" s="95" t="str">
        <f>+Template!U3</f>
        <v>Running websites en application pools</v>
      </c>
      <c r="DK3" s="95" t="str">
        <f>+Template!V3</f>
        <v>Group Membership Check</v>
      </c>
      <c r="DL3" s="95" t="str">
        <f>+Template!W3</f>
        <v>Backup Status</v>
      </c>
      <c r="DM3" s="95" t="str">
        <f>+Template!X3</f>
        <v>Permissions Check</v>
      </c>
      <c r="DN3" s="95" t="str">
        <f>+Template!Y3</f>
        <v>New Updates</v>
      </c>
      <c r="DO3" s="95" t="str">
        <f>+Template!Z3</f>
        <v>Baseline Settings</v>
      </c>
      <c r="DP3" s="95" t="str">
        <f>+Template!AA3</f>
        <v>Access Check</v>
      </c>
      <c r="DQ3" s="95" t="str">
        <f>+Template!AB3</f>
        <v>Missing Security Updates/Service Packs</v>
      </c>
      <c r="DR3" s="95" t="str">
        <f>+Template!AC3</f>
        <v>Policy Compliance</v>
      </c>
      <c r="DS3" s="95" t="str">
        <f>+Template!AD3</f>
        <v>Documentation Check</v>
      </c>
      <c r="DT3" s="95" t="str">
        <f>+Template!AE3</f>
        <v>SSL Certificates Check</v>
      </c>
      <c r="DU3" s="95" t="str">
        <f>+Template!AF3</f>
        <v>Disaster Recovery Test</v>
      </c>
      <c r="DV3" s="95" t="str">
        <f>+Template!AG3</f>
        <v>Lifecycle Check</v>
      </c>
      <c r="DW3" s="96" t="str">
        <f>+Template!AH3</f>
        <v>Performed by:</v>
      </c>
      <c r="DX3" s="125"/>
      <c r="DY3" s="126"/>
      <c r="DZ3" s="126"/>
      <c r="EA3" s="126"/>
    </row>
    <row r="4" spans="1:141" ht="23.25" customHeight="1" thickBot="1" x14ac:dyDescent="0.45">
      <c r="C4" s="97">
        <f>Jaartal</f>
        <v>2020</v>
      </c>
      <c r="D4" s="94">
        <f>+Template!D4</f>
        <v>1</v>
      </c>
      <c r="E4" s="95">
        <f>+Template!E4</f>
        <v>10</v>
      </c>
      <c r="F4" s="95">
        <f>+Template!F4</f>
        <v>11</v>
      </c>
      <c r="G4" s="95">
        <f>+Template!G4</f>
        <v>12</v>
      </c>
      <c r="H4" s="95">
        <f>+Template!H4</f>
        <v>13</v>
      </c>
      <c r="I4" s="95">
        <f>+Template!I4</f>
        <v>14</v>
      </c>
      <c r="J4" s="95">
        <f>+Template!J4</f>
        <v>15</v>
      </c>
      <c r="K4" s="95">
        <f>+Template!K4</f>
        <v>16</v>
      </c>
      <c r="L4" s="95">
        <f>+Template!L4</f>
        <v>17</v>
      </c>
      <c r="M4" s="95">
        <v>18</v>
      </c>
      <c r="N4" s="95">
        <v>19</v>
      </c>
      <c r="O4" s="95">
        <f>+Template!O4</f>
        <v>20</v>
      </c>
      <c r="P4" s="95">
        <f>+Template!P4</f>
        <v>21</v>
      </c>
      <c r="Q4" s="95">
        <v>22</v>
      </c>
      <c r="R4" s="95">
        <f>+Template!R4</f>
        <v>30</v>
      </c>
      <c r="S4" s="95">
        <f>+Template!S4</f>
        <v>31</v>
      </c>
      <c r="T4" s="95">
        <f>+Template!T4</f>
        <v>32</v>
      </c>
      <c r="U4" s="95">
        <f>+Template!U4</f>
        <v>33</v>
      </c>
      <c r="V4" s="95">
        <f>+Template!V4</f>
        <v>34</v>
      </c>
      <c r="W4" s="95">
        <f>+Template!W4</f>
        <v>40</v>
      </c>
      <c r="X4" s="95" t="str">
        <f>+Template!X4</f>
        <v>W01</v>
      </c>
      <c r="Y4" s="95" t="str">
        <f>+Template!Y4</f>
        <v>W02</v>
      </c>
      <c r="Z4" s="95" t="str">
        <f>+Template!Z4</f>
        <v>W03</v>
      </c>
      <c r="AA4" s="95" t="str">
        <f>+Template!AA4</f>
        <v>W04</v>
      </c>
      <c r="AB4" s="95" t="str">
        <f>+Template!AB4</f>
        <v>M01</v>
      </c>
      <c r="AC4" s="95" t="str">
        <f>+Template!AC4</f>
        <v>M02</v>
      </c>
      <c r="AD4" s="95" t="str">
        <f>+Template!AD4</f>
        <v>M03</v>
      </c>
      <c r="AE4" s="95" t="str">
        <f>+Template!AE4</f>
        <v>M04</v>
      </c>
      <c r="AF4" s="95" t="str">
        <f>+Template!AF4</f>
        <v>Q01</v>
      </c>
      <c r="AG4" s="95" t="str">
        <f>+Template!AG4</f>
        <v>Q02</v>
      </c>
      <c r="AH4" s="98"/>
      <c r="AI4" s="94">
        <f>+Template!D4</f>
        <v>1</v>
      </c>
      <c r="AJ4" s="95">
        <f>+Template!E4</f>
        <v>10</v>
      </c>
      <c r="AK4" s="95">
        <f>+Template!F4</f>
        <v>11</v>
      </c>
      <c r="AL4" s="95">
        <f>+Template!G4</f>
        <v>12</v>
      </c>
      <c r="AM4" s="95">
        <f>+Template!H4</f>
        <v>13</v>
      </c>
      <c r="AN4" s="95">
        <f>+Template!I4</f>
        <v>14</v>
      </c>
      <c r="AO4" s="95">
        <f>+Template!J4</f>
        <v>15</v>
      </c>
      <c r="AP4" s="95">
        <f>+Template!K4</f>
        <v>16</v>
      </c>
      <c r="AQ4" s="95">
        <f>+Template!L4</f>
        <v>17</v>
      </c>
      <c r="AR4" s="95">
        <v>18</v>
      </c>
      <c r="AS4" s="95">
        <v>19</v>
      </c>
      <c r="AT4" s="95">
        <f>+Template!O4</f>
        <v>20</v>
      </c>
      <c r="AU4" s="95">
        <f>+Template!P4</f>
        <v>21</v>
      </c>
      <c r="AV4" s="95">
        <v>22</v>
      </c>
      <c r="AW4" s="95">
        <f>+Template!R4</f>
        <v>30</v>
      </c>
      <c r="AX4" s="95">
        <f>+Template!S4</f>
        <v>31</v>
      </c>
      <c r="AY4" s="95">
        <f>+Template!T4</f>
        <v>32</v>
      </c>
      <c r="AZ4" s="95">
        <f>+Template!U4</f>
        <v>33</v>
      </c>
      <c r="BA4" s="95">
        <f>+Template!V4</f>
        <v>34</v>
      </c>
      <c r="BB4" s="95">
        <f>+Template!W4</f>
        <v>40</v>
      </c>
      <c r="BC4" s="95" t="str">
        <f>+Template!X4</f>
        <v>W01</v>
      </c>
      <c r="BD4" s="95" t="str">
        <f>+Template!Y4</f>
        <v>W02</v>
      </c>
      <c r="BE4" s="95" t="str">
        <f>+Template!Z4</f>
        <v>W03</v>
      </c>
      <c r="BF4" s="95" t="str">
        <f>+Template!AA4</f>
        <v>W04</v>
      </c>
      <c r="BG4" s="95" t="str">
        <f>+Template!AB4</f>
        <v>M01</v>
      </c>
      <c r="BH4" s="95" t="str">
        <f>+Template!AC4</f>
        <v>M02</v>
      </c>
      <c r="BI4" s="95" t="str">
        <f>+Template!AD4</f>
        <v>M03</v>
      </c>
      <c r="BJ4" s="95" t="str">
        <f>+Template!AE4</f>
        <v>M04</v>
      </c>
      <c r="BK4" s="95" t="str">
        <f>+Template!AF4</f>
        <v>Q01</v>
      </c>
      <c r="BL4" s="95" t="str">
        <f>+Template!AG4</f>
        <v>Q02</v>
      </c>
      <c r="BM4" s="98"/>
      <c r="BN4" s="94">
        <f>+Template!D4</f>
        <v>1</v>
      </c>
      <c r="BO4" s="95">
        <f>+Template!E4</f>
        <v>10</v>
      </c>
      <c r="BP4" s="95">
        <f>+Template!F4</f>
        <v>11</v>
      </c>
      <c r="BQ4" s="95">
        <f>+Template!G4</f>
        <v>12</v>
      </c>
      <c r="BR4" s="95">
        <f>+Template!H4</f>
        <v>13</v>
      </c>
      <c r="BS4" s="95">
        <f>+Template!I4</f>
        <v>14</v>
      </c>
      <c r="BT4" s="95">
        <f>+Template!J4</f>
        <v>15</v>
      </c>
      <c r="BU4" s="95">
        <f>+Template!K4</f>
        <v>16</v>
      </c>
      <c r="BV4" s="95">
        <f>+Template!L4</f>
        <v>17</v>
      </c>
      <c r="BW4" s="95">
        <v>18</v>
      </c>
      <c r="BX4" s="95">
        <v>19</v>
      </c>
      <c r="BY4" s="95">
        <f>+Template!O4</f>
        <v>20</v>
      </c>
      <c r="BZ4" s="95">
        <f>+Template!P4</f>
        <v>21</v>
      </c>
      <c r="CA4" s="95">
        <v>22</v>
      </c>
      <c r="CB4" s="95">
        <f>+Template!R4</f>
        <v>30</v>
      </c>
      <c r="CC4" s="95">
        <f>+Template!S4</f>
        <v>31</v>
      </c>
      <c r="CD4" s="95">
        <f>+Template!T4</f>
        <v>32</v>
      </c>
      <c r="CE4" s="95">
        <f>+Template!U4</f>
        <v>33</v>
      </c>
      <c r="CF4" s="95">
        <f>+Template!V4</f>
        <v>34</v>
      </c>
      <c r="CG4" s="95">
        <f>+Template!W4</f>
        <v>40</v>
      </c>
      <c r="CH4" s="95" t="str">
        <f>+Template!X4</f>
        <v>W01</v>
      </c>
      <c r="CI4" s="95" t="str">
        <f>+Template!Y4</f>
        <v>W02</v>
      </c>
      <c r="CJ4" s="95" t="str">
        <f>+Template!Z4</f>
        <v>W03</v>
      </c>
      <c r="CK4" s="95" t="str">
        <f>+Template!AA4</f>
        <v>W04</v>
      </c>
      <c r="CL4" s="95" t="str">
        <f>+Template!AB4</f>
        <v>M01</v>
      </c>
      <c r="CM4" s="95" t="str">
        <f>+Template!AC4</f>
        <v>M02</v>
      </c>
      <c r="CN4" s="95" t="str">
        <f>+Template!AD4</f>
        <v>M03</v>
      </c>
      <c r="CO4" s="95" t="str">
        <f>+Template!AE4</f>
        <v>M04</v>
      </c>
      <c r="CP4" s="95" t="str">
        <f>+Template!AF4</f>
        <v>Q01</v>
      </c>
      <c r="CQ4" s="95" t="str">
        <f>+Template!AG4</f>
        <v>Q02</v>
      </c>
      <c r="CR4" s="98"/>
      <c r="CS4" s="94">
        <f>+Template!D4</f>
        <v>1</v>
      </c>
      <c r="CT4" s="95">
        <f>+Template!E4</f>
        <v>10</v>
      </c>
      <c r="CU4" s="95">
        <f>+Template!F4</f>
        <v>11</v>
      </c>
      <c r="CV4" s="95">
        <f>+Template!G4</f>
        <v>12</v>
      </c>
      <c r="CW4" s="95">
        <f>+Template!H4</f>
        <v>13</v>
      </c>
      <c r="CX4" s="95">
        <f>+Template!I4</f>
        <v>14</v>
      </c>
      <c r="CY4" s="95">
        <f>+Template!J4</f>
        <v>15</v>
      </c>
      <c r="CZ4" s="95">
        <f>+Template!K4</f>
        <v>16</v>
      </c>
      <c r="DA4" s="95">
        <f>+Template!L4</f>
        <v>17</v>
      </c>
      <c r="DB4" s="95">
        <v>18</v>
      </c>
      <c r="DC4" s="95">
        <v>19</v>
      </c>
      <c r="DD4" s="95">
        <f>+Template!O4</f>
        <v>20</v>
      </c>
      <c r="DE4" s="95">
        <f>+Template!P4</f>
        <v>21</v>
      </c>
      <c r="DF4" s="95">
        <v>22</v>
      </c>
      <c r="DG4" s="95">
        <f>+Template!R4</f>
        <v>30</v>
      </c>
      <c r="DH4" s="95">
        <f>+Template!S4</f>
        <v>31</v>
      </c>
      <c r="DI4" s="95">
        <f>+Template!T4</f>
        <v>32</v>
      </c>
      <c r="DJ4" s="95">
        <f>+Template!U4</f>
        <v>33</v>
      </c>
      <c r="DK4" s="95">
        <f>+Template!V4</f>
        <v>34</v>
      </c>
      <c r="DL4" s="95">
        <f>+Template!W4</f>
        <v>40</v>
      </c>
      <c r="DM4" s="95" t="str">
        <f>+Template!X4</f>
        <v>W01</v>
      </c>
      <c r="DN4" s="95" t="str">
        <f>+Template!Y4</f>
        <v>W02</v>
      </c>
      <c r="DO4" s="95" t="str">
        <f>+Template!Z4</f>
        <v>W03</v>
      </c>
      <c r="DP4" s="95" t="str">
        <f>+Template!AA4</f>
        <v>W04</v>
      </c>
      <c r="DQ4" s="95" t="str">
        <f>+Template!AB4</f>
        <v>M01</v>
      </c>
      <c r="DR4" s="95" t="str">
        <f>+Template!AC4</f>
        <v>M02</v>
      </c>
      <c r="DS4" s="95" t="str">
        <f>+Template!AD4</f>
        <v>M03</v>
      </c>
      <c r="DT4" s="95" t="str">
        <f>+Template!AE4</f>
        <v>M04</v>
      </c>
      <c r="DU4" s="95" t="str">
        <f>+Template!AF4</f>
        <v>Q01</v>
      </c>
      <c r="DV4" s="95" t="str">
        <f>+Template!AG4</f>
        <v>Q02</v>
      </c>
      <c r="DW4" s="98"/>
      <c r="DX4" s="125"/>
      <c r="DY4" s="126"/>
      <c r="DZ4" s="126"/>
      <c r="EA4" s="126"/>
    </row>
    <row r="5" spans="1:141" x14ac:dyDescent="0.4">
      <c r="A5" s="74">
        <f>WEEKDAY(C5)</f>
        <v>4</v>
      </c>
      <c r="B5" s="74">
        <v>1</v>
      </c>
      <c r="C5" s="127">
        <f>DATE(Jaartal,July!$B$3,July!$B5)</f>
        <v>44013</v>
      </c>
      <c r="D5" s="100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2"/>
      <c r="AI5" s="100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2"/>
      <c r="BN5" s="100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2"/>
      <c r="CS5" s="100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3"/>
      <c r="DJ5" s="103"/>
      <c r="DK5" s="103"/>
      <c r="DL5" s="103"/>
      <c r="DM5" s="103"/>
      <c r="DN5" s="103"/>
      <c r="DO5" s="103"/>
      <c r="DP5" s="103"/>
      <c r="DQ5" s="103"/>
      <c r="DR5" s="103"/>
      <c r="DS5" s="103"/>
      <c r="DT5" s="103"/>
      <c r="DU5" s="103"/>
      <c r="DV5" s="103"/>
      <c r="DW5" s="102"/>
      <c r="DX5" s="128"/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</row>
    <row r="6" spans="1:141" x14ac:dyDescent="0.4">
      <c r="A6" s="74">
        <f t="shared" ref="A6:A35" si="0">WEEKDAY(C6)</f>
        <v>5</v>
      </c>
      <c r="B6" s="74">
        <v>2</v>
      </c>
      <c r="C6" s="127">
        <f>DATE(Jaartal,July!$B$3,July!$B6)</f>
        <v>44014</v>
      </c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6"/>
      <c r="AI6" s="104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6"/>
      <c r="BN6" s="104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6"/>
      <c r="CS6" s="104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6"/>
      <c r="DX6" s="128"/>
      <c r="DY6" s="128"/>
      <c r="DZ6" s="128"/>
      <c r="EA6" s="128"/>
      <c r="EB6" s="128"/>
      <c r="EC6" s="128"/>
      <c r="ED6" s="128"/>
      <c r="EE6" s="128"/>
      <c r="EF6" s="128"/>
      <c r="EG6" s="128"/>
      <c r="EH6" s="128"/>
      <c r="EI6" s="128"/>
      <c r="EJ6" s="128"/>
      <c r="EK6" s="128"/>
    </row>
    <row r="7" spans="1:141" x14ac:dyDescent="0.4">
      <c r="A7" s="74">
        <f t="shared" si="0"/>
        <v>6</v>
      </c>
      <c r="B7" s="74">
        <v>3</v>
      </c>
      <c r="C7" s="127">
        <f>DATE(Jaartal,July!$B$3,July!$B7)</f>
        <v>44015</v>
      </c>
      <c r="D7" s="104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6"/>
      <c r="AI7" s="104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6"/>
      <c r="BN7" s="104"/>
      <c r="BO7" s="105"/>
      <c r="BP7" s="105"/>
      <c r="BQ7" s="105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6"/>
      <c r="CS7" s="104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6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</row>
    <row r="8" spans="1:141" x14ac:dyDescent="0.4">
      <c r="A8" s="74">
        <f t="shared" si="0"/>
        <v>7</v>
      </c>
      <c r="B8" s="74">
        <v>4</v>
      </c>
      <c r="C8" s="127">
        <f>DATE(Jaartal,July!$B$3,July!$B8)</f>
        <v>44016</v>
      </c>
      <c r="D8" s="104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6"/>
      <c r="AI8" s="104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6"/>
      <c r="BN8" s="104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6"/>
      <c r="CS8" s="104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/>
      <c r="DT8" s="107"/>
      <c r="DU8" s="107"/>
      <c r="DV8" s="107"/>
      <c r="DW8" s="106"/>
      <c r="DX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</row>
    <row r="9" spans="1:141" x14ac:dyDescent="0.4">
      <c r="A9" s="74">
        <f t="shared" si="0"/>
        <v>1</v>
      </c>
      <c r="B9" s="74">
        <v>5</v>
      </c>
      <c r="C9" s="127">
        <f>DATE(Jaartal,July!$B$3,July!$B9)</f>
        <v>44017</v>
      </c>
      <c r="D9" s="104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6"/>
      <c r="AI9" s="104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6"/>
      <c r="BN9" s="104"/>
      <c r="BO9" s="105"/>
      <c r="BP9" s="105"/>
      <c r="BQ9" s="105"/>
      <c r="BR9" s="105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6"/>
      <c r="CS9" s="104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5"/>
      <c r="DH9" s="105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6"/>
      <c r="DX9" s="128"/>
      <c r="DY9" s="128"/>
      <c r="DZ9" s="128"/>
      <c r="EA9" s="128"/>
      <c r="EB9" s="128"/>
      <c r="EC9" s="128"/>
      <c r="ED9" s="128"/>
      <c r="EE9" s="128"/>
      <c r="EF9" s="128"/>
      <c r="EG9" s="128"/>
      <c r="EH9" s="128"/>
      <c r="EI9" s="128"/>
      <c r="EJ9" s="128"/>
      <c r="EK9" s="128"/>
    </row>
    <row r="10" spans="1:141" x14ac:dyDescent="0.4">
      <c r="A10" s="74">
        <f t="shared" si="0"/>
        <v>2</v>
      </c>
      <c r="B10" s="74">
        <v>6</v>
      </c>
      <c r="C10" s="127">
        <f>DATE(Jaartal,July!$B$3,July!$B10)</f>
        <v>44018</v>
      </c>
      <c r="D10" s="104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6"/>
      <c r="AI10" s="104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6"/>
      <c r="BN10" s="104"/>
      <c r="BO10" s="105"/>
      <c r="BP10" s="105"/>
      <c r="BQ10" s="105"/>
      <c r="BR10" s="105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6"/>
      <c r="CS10" s="104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5"/>
      <c r="DH10" s="105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6"/>
      <c r="DX10" s="128"/>
      <c r="DY10" s="128"/>
      <c r="DZ10" s="128"/>
      <c r="EA10" s="128"/>
      <c r="EB10" s="128"/>
      <c r="EC10" s="128"/>
      <c r="ED10" s="128"/>
      <c r="EE10" s="128"/>
      <c r="EF10" s="128"/>
      <c r="EG10" s="128"/>
      <c r="EH10" s="128"/>
      <c r="EI10" s="128"/>
      <c r="EJ10" s="128"/>
      <c r="EK10" s="128"/>
    </row>
    <row r="11" spans="1:141" x14ac:dyDescent="0.4">
      <c r="A11" s="74">
        <f t="shared" si="0"/>
        <v>3</v>
      </c>
      <c r="B11" s="74">
        <v>7</v>
      </c>
      <c r="C11" s="127">
        <f>DATE(Jaartal,July!$B$3,July!$B11)</f>
        <v>44019</v>
      </c>
      <c r="D11" s="104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6"/>
      <c r="AI11" s="104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6"/>
      <c r="BN11" s="104"/>
      <c r="BO11" s="105"/>
      <c r="BP11" s="105"/>
      <c r="BQ11" s="105"/>
      <c r="BR11" s="105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6"/>
      <c r="CS11" s="104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5"/>
      <c r="DH11" s="105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6"/>
      <c r="DX11" s="128"/>
      <c r="DY11" s="128"/>
      <c r="DZ11" s="128"/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</row>
    <row r="12" spans="1:141" x14ac:dyDescent="0.4">
      <c r="A12" s="74">
        <f t="shared" si="0"/>
        <v>4</v>
      </c>
      <c r="B12" s="74">
        <v>8</v>
      </c>
      <c r="C12" s="127">
        <f>DATE(Jaartal,July!$B$3,July!$B12)</f>
        <v>44020</v>
      </c>
      <c r="D12" s="104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6"/>
      <c r="AI12" s="104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6"/>
      <c r="BN12" s="104"/>
      <c r="BO12" s="105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6"/>
      <c r="CS12" s="104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5"/>
      <c r="DH12" s="105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6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</row>
    <row r="13" spans="1:141" x14ac:dyDescent="0.4">
      <c r="A13" s="74">
        <f t="shared" si="0"/>
        <v>5</v>
      </c>
      <c r="B13" s="74">
        <v>9</v>
      </c>
      <c r="C13" s="127">
        <f>DATE(Jaartal,July!$B$3,July!$B13)</f>
        <v>44021</v>
      </c>
      <c r="D13" s="104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6"/>
      <c r="AI13" s="104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6"/>
      <c r="BN13" s="104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6"/>
      <c r="CS13" s="104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5"/>
      <c r="DH13" s="105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6"/>
      <c r="DX13" s="128"/>
      <c r="DY13" s="128"/>
      <c r="DZ13" s="128"/>
      <c r="EA13" s="128"/>
      <c r="EB13" s="128"/>
      <c r="EC13" s="128"/>
      <c r="ED13" s="128"/>
      <c r="EE13" s="128"/>
      <c r="EF13" s="128"/>
      <c r="EG13" s="128"/>
      <c r="EH13" s="128"/>
      <c r="EI13" s="128"/>
      <c r="EJ13" s="128"/>
      <c r="EK13" s="128"/>
    </row>
    <row r="14" spans="1:141" x14ac:dyDescent="0.4">
      <c r="A14" s="74">
        <f t="shared" si="0"/>
        <v>6</v>
      </c>
      <c r="B14" s="74">
        <v>10</v>
      </c>
      <c r="C14" s="127">
        <f>DATE(Jaartal,July!$B$3,July!$B14)</f>
        <v>44022</v>
      </c>
      <c r="D14" s="104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6"/>
      <c r="AI14" s="104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6"/>
      <c r="BN14" s="104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6"/>
      <c r="CS14" s="104"/>
      <c r="CT14" s="105"/>
      <c r="CU14" s="105"/>
      <c r="CV14" s="105"/>
      <c r="CW14" s="105"/>
      <c r="CX14" s="105"/>
      <c r="CY14" s="105"/>
      <c r="CZ14" s="105"/>
      <c r="DA14" s="105"/>
      <c r="DB14" s="105"/>
      <c r="DC14" s="105"/>
      <c r="DD14" s="105"/>
      <c r="DE14" s="105"/>
      <c r="DF14" s="105"/>
      <c r="DG14" s="105"/>
      <c r="DH14" s="105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6"/>
      <c r="DX14" s="128"/>
      <c r="DY14" s="128"/>
      <c r="DZ14" s="128"/>
      <c r="EA14" s="128"/>
      <c r="EB14" s="128"/>
      <c r="EC14" s="128"/>
      <c r="ED14" s="128"/>
      <c r="EE14" s="128"/>
      <c r="EF14" s="128"/>
      <c r="EG14" s="128"/>
      <c r="EH14" s="128"/>
      <c r="EI14" s="128"/>
      <c r="EJ14" s="128"/>
      <c r="EK14" s="128"/>
    </row>
    <row r="15" spans="1:141" x14ac:dyDescent="0.4">
      <c r="A15" s="74">
        <f t="shared" si="0"/>
        <v>7</v>
      </c>
      <c r="B15" s="74">
        <v>11</v>
      </c>
      <c r="C15" s="127">
        <f>DATE(Jaartal,July!$B$3,July!$B15)</f>
        <v>44023</v>
      </c>
      <c r="D15" s="104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6"/>
      <c r="AI15" s="104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6"/>
      <c r="BN15" s="104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6"/>
      <c r="CS15" s="104"/>
      <c r="CT15" s="105"/>
      <c r="CU15" s="105"/>
      <c r="CV15" s="105"/>
      <c r="CW15" s="105"/>
      <c r="CX15" s="105"/>
      <c r="CY15" s="105"/>
      <c r="CZ15" s="105"/>
      <c r="DA15" s="105"/>
      <c r="DB15" s="105"/>
      <c r="DC15" s="105"/>
      <c r="DD15" s="105"/>
      <c r="DE15" s="105"/>
      <c r="DF15" s="105"/>
      <c r="DG15" s="105"/>
      <c r="DH15" s="105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6"/>
      <c r="DX15" s="128"/>
      <c r="DY15" s="128"/>
      <c r="DZ15" s="128"/>
      <c r="EA15" s="128"/>
      <c r="EB15" s="128"/>
      <c r="EC15" s="128"/>
      <c r="ED15" s="128"/>
      <c r="EE15" s="128"/>
      <c r="EF15" s="128"/>
      <c r="EG15" s="128"/>
      <c r="EH15" s="128"/>
      <c r="EI15" s="128"/>
      <c r="EJ15" s="128"/>
      <c r="EK15" s="128"/>
    </row>
    <row r="16" spans="1:141" x14ac:dyDescent="0.4">
      <c r="A16" s="74">
        <f t="shared" si="0"/>
        <v>1</v>
      </c>
      <c r="B16" s="74">
        <v>12</v>
      </c>
      <c r="C16" s="127">
        <f>DATE(Jaartal,July!$B$3,July!$B16)</f>
        <v>44024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6"/>
      <c r="AI16" s="104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6"/>
      <c r="BN16" s="104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6"/>
      <c r="DX16" s="128"/>
      <c r="DY16" s="128"/>
      <c r="DZ16" s="128"/>
      <c r="EA16" s="128"/>
      <c r="EB16" s="128"/>
      <c r="EC16" s="128"/>
      <c r="ED16" s="128"/>
      <c r="EE16" s="128"/>
      <c r="EF16" s="128"/>
      <c r="EG16" s="128"/>
      <c r="EH16" s="128"/>
      <c r="EI16" s="128"/>
      <c r="EJ16" s="128"/>
      <c r="EK16" s="128"/>
    </row>
    <row r="17" spans="1:141" x14ac:dyDescent="0.4">
      <c r="A17" s="74">
        <f t="shared" si="0"/>
        <v>2</v>
      </c>
      <c r="B17" s="74">
        <v>13</v>
      </c>
      <c r="C17" s="127">
        <f>DATE(Jaartal,July!$B$3,July!$B17)</f>
        <v>44025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6"/>
      <c r="AI17" s="104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6"/>
      <c r="BN17" s="104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6"/>
      <c r="CS17" s="104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6"/>
      <c r="DX17" s="128"/>
      <c r="DY17" s="128"/>
      <c r="DZ17" s="128"/>
      <c r="EA17" s="128"/>
      <c r="EB17" s="128"/>
      <c r="EC17" s="128"/>
      <c r="ED17" s="128"/>
      <c r="EE17" s="128"/>
      <c r="EF17" s="128"/>
      <c r="EG17" s="128"/>
      <c r="EH17" s="128"/>
      <c r="EI17" s="128"/>
      <c r="EJ17" s="128"/>
      <c r="EK17" s="128"/>
    </row>
    <row r="18" spans="1:141" x14ac:dyDescent="0.4">
      <c r="A18" s="74">
        <f t="shared" si="0"/>
        <v>3</v>
      </c>
      <c r="B18" s="74">
        <v>14</v>
      </c>
      <c r="C18" s="127">
        <f>DATE(Jaartal,July!$B$3,July!$B18)</f>
        <v>44026</v>
      </c>
      <c r="D18" s="104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6"/>
      <c r="AI18" s="104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6"/>
      <c r="BN18" s="104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6"/>
      <c r="CS18" s="104"/>
      <c r="CT18" s="105"/>
      <c r="CU18" s="105"/>
      <c r="CV18" s="105"/>
      <c r="CW18" s="105"/>
      <c r="CX18" s="105"/>
      <c r="CY18" s="105"/>
      <c r="CZ18" s="105"/>
      <c r="DA18" s="105"/>
      <c r="DB18" s="105"/>
      <c r="DC18" s="105"/>
      <c r="DD18" s="105"/>
      <c r="DE18" s="105"/>
      <c r="DF18" s="105"/>
      <c r="DG18" s="105"/>
      <c r="DH18" s="105"/>
      <c r="DI18" s="107"/>
      <c r="DJ18" s="107"/>
      <c r="DK18" s="107"/>
      <c r="DL18" s="107"/>
      <c r="DM18" s="107"/>
      <c r="DN18" s="107"/>
      <c r="DO18" s="107"/>
      <c r="DP18" s="107"/>
      <c r="DQ18" s="107"/>
      <c r="DR18" s="107"/>
      <c r="DS18" s="107"/>
      <c r="DT18" s="107"/>
      <c r="DU18" s="107"/>
      <c r="DV18" s="107"/>
      <c r="DW18" s="106"/>
      <c r="DX18" s="128"/>
      <c r="DY18" s="128"/>
      <c r="DZ18" s="128"/>
      <c r="EA18" s="128"/>
      <c r="EB18" s="128"/>
      <c r="EC18" s="128"/>
      <c r="ED18" s="128"/>
      <c r="EE18" s="128"/>
      <c r="EF18" s="128"/>
      <c r="EG18" s="128"/>
      <c r="EH18" s="128"/>
      <c r="EI18" s="128"/>
      <c r="EJ18" s="128"/>
      <c r="EK18" s="128"/>
    </row>
    <row r="19" spans="1:141" x14ac:dyDescent="0.4">
      <c r="A19" s="74">
        <f t="shared" si="0"/>
        <v>4</v>
      </c>
      <c r="B19" s="74">
        <v>15</v>
      </c>
      <c r="C19" s="127">
        <f>DATE(Jaartal,July!$B$3,July!$B19)</f>
        <v>44027</v>
      </c>
      <c r="D19" s="104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6"/>
      <c r="AI19" s="104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6"/>
      <c r="BN19" s="104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6"/>
      <c r="CS19" s="104"/>
      <c r="CT19" s="105"/>
      <c r="CU19" s="105"/>
      <c r="CV19" s="105"/>
      <c r="CW19" s="105"/>
      <c r="CX19" s="105"/>
      <c r="CY19" s="105"/>
      <c r="CZ19" s="105"/>
      <c r="DA19" s="105"/>
      <c r="DB19" s="105"/>
      <c r="DC19" s="105"/>
      <c r="DD19" s="105"/>
      <c r="DE19" s="105"/>
      <c r="DF19" s="105"/>
      <c r="DG19" s="105"/>
      <c r="DH19" s="105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6"/>
      <c r="DX19" s="128"/>
      <c r="DY19" s="128"/>
      <c r="DZ19" s="128"/>
      <c r="EA19" s="128"/>
      <c r="EB19" s="128"/>
      <c r="EC19" s="128"/>
      <c r="ED19" s="128"/>
      <c r="EE19" s="128"/>
      <c r="EF19" s="128"/>
      <c r="EG19" s="128"/>
      <c r="EH19" s="128"/>
      <c r="EI19" s="128"/>
      <c r="EJ19" s="128"/>
      <c r="EK19" s="128"/>
    </row>
    <row r="20" spans="1:141" x14ac:dyDescent="0.4">
      <c r="A20" s="74">
        <f t="shared" si="0"/>
        <v>5</v>
      </c>
      <c r="B20" s="74">
        <v>16</v>
      </c>
      <c r="C20" s="127">
        <f>DATE(Jaartal,July!$B$3,July!$B20)</f>
        <v>44028</v>
      </c>
      <c r="D20" s="104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6"/>
      <c r="AI20" s="104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6"/>
      <c r="BN20" s="104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6"/>
      <c r="CS20" s="104"/>
      <c r="CT20" s="105"/>
      <c r="CU20" s="105"/>
      <c r="CV20" s="105"/>
      <c r="CW20" s="105"/>
      <c r="CX20" s="105"/>
      <c r="CY20" s="105"/>
      <c r="CZ20" s="105"/>
      <c r="DA20" s="105"/>
      <c r="DB20" s="105"/>
      <c r="DC20" s="105"/>
      <c r="DD20" s="105"/>
      <c r="DE20" s="105"/>
      <c r="DF20" s="105"/>
      <c r="DG20" s="105"/>
      <c r="DH20" s="105"/>
      <c r="DI20" s="107"/>
      <c r="DJ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U20" s="107"/>
      <c r="DV20" s="107"/>
      <c r="DW20" s="106"/>
      <c r="DX20" s="128"/>
      <c r="DY20" s="128"/>
      <c r="DZ20" s="128"/>
      <c r="EA20" s="128"/>
      <c r="EB20" s="128"/>
      <c r="EC20" s="128"/>
      <c r="ED20" s="128"/>
      <c r="EE20" s="128"/>
      <c r="EF20" s="128"/>
      <c r="EG20" s="128"/>
      <c r="EH20" s="128"/>
      <c r="EI20" s="128"/>
      <c r="EJ20" s="128"/>
      <c r="EK20" s="128"/>
    </row>
    <row r="21" spans="1:141" x14ac:dyDescent="0.4">
      <c r="A21" s="74">
        <f t="shared" si="0"/>
        <v>6</v>
      </c>
      <c r="B21" s="74">
        <v>17</v>
      </c>
      <c r="C21" s="127">
        <f>DATE(Jaartal,July!$B$3,July!$B21)</f>
        <v>44029</v>
      </c>
      <c r="D21" s="104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6"/>
      <c r="AI21" s="104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6"/>
      <c r="BN21" s="104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6"/>
      <c r="CS21" s="104"/>
      <c r="CT21" s="105"/>
      <c r="CU21" s="105"/>
      <c r="CV21" s="105"/>
      <c r="CW21" s="105"/>
      <c r="CX21" s="105"/>
      <c r="CY21" s="105"/>
      <c r="CZ21" s="105"/>
      <c r="DA21" s="105"/>
      <c r="DB21" s="105"/>
      <c r="DC21" s="105"/>
      <c r="DD21" s="105"/>
      <c r="DE21" s="105"/>
      <c r="DF21" s="105"/>
      <c r="DG21" s="105"/>
      <c r="DH21" s="105"/>
      <c r="DI21" s="107"/>
      <c r="DJ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U21" s="107"/>
      <c r="DV21" s="107"/>
      <c r="DW21" s="106"/>
      <c r="DX21" s="128"/>
      <c r="DY21" s="128"/>
      <c r="DZ21" s="128"/>
      <c r="EA21" s="128"/>
      <c r="EB21" s="128"/>
      <c r="EC21" s="128"/>
      <c r="ED21" s="128"/>
      <c r="EE21" s="128"/>
      <c r="EF21" s="128"/>
      <c r="EG21" s="128"/>
      <c r="EH21" s="128"/>
      <c r="EI21" s="128"/>
      <c r="EJ21" s="128"/>
      <c r="EK21" s="128"/>
    </row>
    <row r="22" spans="1:141" x14ac:dyDescent="0.4">
      <c r="A22" s="74">
        <f t="shared" si="0"/>
        <v>7</v>
      </c>
      <c r="B22" s="74">
        <v>18</v>
      </c>
      <c r="C22" s="127">
        <f>DATE(Jaartal,July!$B$3,July!$B22)</f>
        <v>44030</v>
      </c>
      <c r="D22" s="104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6"/>
      <c r="AI22" s="104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6"/>
      <c r="BN22" s="104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6"/>
      <c r="CS22" s="104"/>
      <c r="CT22" s="105"/>
      <c r="CU22" s="105"/>
      <c r="CV22" s="105"/>
      <c r="CW22" s="105"/>
      <c r="CX22" s="105"/>
      <c r="CY22" s="105"/>
      <c r="CZ22" s="105"/>
      <c r="DA22" s="105"/>
      <c r="DB22" s="105"/>
      <c r="DC22" s="105"/>
      <c r="DD22" s="105"/>
      <c r="DE22" s="105"/>
      <c r="DF22" s="105"/>
      <c r="DG22" s="105"/>
      <c r="DH22" s="105"/>
      <c r="DI22" s="107"/>
      <c r="DJ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U22" s="107"/>
      <c r="DV22" s="107"/>
      <c r="DW22" s="106"/>
      <c r="DX22" s="128"/>
      <c r="DY22" s="128"/>
      <c r="DZ22" s="128"/>
      <c r="EA22" s="128"/>
      <c r="EB22" s="128"/>
      <c r="EC22" s="128"/>
      <c r="ED22" s="128"/>
      <c r="EE22" s="128"/>
      <c r="EF22" s="128"/>
      <c r="EG22" s="128"/>
      <c r="EH22" s="128"/>
      <c r="EI22" s="128"/>
      <c r="EJ22" s="128"/>
      <c r="EK22" s="128"/>
    </row>
    <row r="23" spans="1:141" x14ac:dyDescent="0.4">
      <c r="A23" s="74">
        <f t="shared" si="0"/>
        <v>1</v>
      </c>
      <c r="B23" s="74">
        <v>19</v>
      </c>
      <c r="C23" s="127">
        <f>DATE(Jaartal,July!$B$3,July!$B23)</f>
        <v>44031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6"/>
      <c r="AI23" s="104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6"/>
      <c r="BN23" s="104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7"/>
      <c r="CE23" s="107"/>
      <c r="CF23" s="107"/>
      <c r="CG23" s="107"/>
      <c r="CH23" s="107"/>
      <c r="CI23" s="107"/>
      <c r="CJ23" s="107"/>
      <c r="CK23" s="107"/>
      <c r="CL23" s="107"/>
      <c r="CM23" s="107"/>
      <c r="CN23" s="107"/>
      <c r="CO23" s="107"/>
      <c r="CP23" s="107"/>
      <c r="CQ23" s="107"/>
      <c r="CR23" s="106"/>
      <c r="CS23" s="104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5"/>
      <c r="DH23" s="105"/>
      <c r="DI23" s="107"/>
      <c r="DJ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U23" s="107"/>
      <c r="DV23" s="107"/>
      <c r="DW23" s="106"/>
      <c r="DX23" s="128"/>
      <c r="DY23" s="128"/>
      <c r="DZ23" s="128"/>
      <c r="EA23" s="128"/>
      <c r="EB23" s="128"/>
      <c r="EC23" s="128"/>
      <c r="ED23" s="128"/>
      <c r="EE23" s="128"/>
      <c r="EF23" s="128"/>
      <c r="EG23" s="128"/>
      <c r="EH23" s="128"/>
      <c r="EI23" s="128"/>
      <c r="EJ23" s="128"/>
      <c r="EK23" s="128"/>
    </row>
    <row r="24" spans="1:141" x14ac:dyDescent="0.4">
      <c r="A24" s="74">
        <f t="shared" si="0"/>
        <v>2</v>
      </c>
      <c r="B24" s="74">
        <v>20</v>
      </c>
      <c r="C24" s="127">
        <f>DATE(Jaartal,July!$B$3,July!$B24)</f>
        <v>44032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6"/>
      <c r="AI24" s="104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6"/>
      <c r="BN24" s="104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6"/>
      <c r="DX24" s="128"/>
      <c r="DY24" s="128"/>
      <c r="DZ24" s="128"/>
      <c r="EA24" s="128"/>
      <c r="EB24" s="128"/>
      <c r="EC24" s="128"/>
      <c r="ED24" s="128"/>
      <c r="EE24" s="128"/>
      <c r="EF24" s="128"/>
      <c r="EG24" s="128"/>
      <c r="EH24" s="128"/>
      <c r="EI24" s="128"/>
      <c r="EJ24" s="128"/>
      <c r="EK24" s="128"/>
    </row>
    <row r="25" spans="1:141" x14ac:dyDescent="0.4">
      <c r="A25" s="74">
        <f t="shared" si="0"/>
        <v>3</v>
      </c>
      <c r="B25" s="74">
        <v>21</v>
      </c>
      <c r="C25" s="127">
        <f>DATE(Jaartal,July!$B$3,July!$B25)</f>
        <v>44033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6"/>
      <c r="AI25" s="104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6"/>
      <c r="BN25" s="104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U25" s="107"/>
      <c r="DV25" s="107"/>
      <c r="DW25" s="106"/>
      <c r="DX25" s="128"/>
      <c r="DY25" s="128"/>
      <c r="DZ25" s="128"/>
      <c r="EA25" s="128"/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</row>
    <row r="26" spans="1:141" x14ac:dyDescent="0.4">
      <c r="A26" s="74">
        <f t="shared" si="0"/>
        <v>4</v>
      </c>
      <c r="B26" s="74">
        <v>22</v>
      </c>
      <c r="C26" s="127">
        <f>DATE(Jaartal,July!$B$3,July!$B26)</f>
        <v>44034</v>
      </c>
      <c r="D26" s="104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6"/>
      <c r="AI26" s="104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6"/>
      <c r="BN26" s="104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6"/>
      <c r="CS26" s="104"/>
      <c r="CT26" s="105"/>
      <c r="CU26" s="105"/>
      <c r="CV26" s="105"/>
      <c r="CW26" s="105"/>
      <c r="CX26" s="105"/>
      <c r="CY26" s="105"/>
      <c r="CZ26" s="105"/>
      <c r="DA26" s="105"/>
      <c r="DB26" s="105"/>
      <c r="DC26" s="105"/>
      <c r="DD26" s="105"/>
      <c r="DE26" s="105"/>
      <c r="DF26" s="105"/>
      <c r="DG26" s="105"/>
      <c r="DH26" s="105"/>
      <c r="DI26" s="107"/>
      <c r="DJ26" s="107"/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U26" s="107"/>
      <c r="DV26" s="107"/>
      <c r="DW26" s="106"/>
      <c r="DX26" s="128"/>
      <c r="DY26" s="128"/>
      <c r="DZ26" s="128"/>
      <c r="EA26" s="128"/>
      <c r="EB26" s="128"/>
      <c r="EC26" s="128"/>
      <c r="ED26" s="128"/>
      <c r="EE26" s="128"/>
      <c r="EF26" s="128"/>
      <c r="EG26" s="128"/>
      <c r="EH26" s="128"/>
      <c r="EI26" s="128"/>
      <c r="EJ26" s="128"/>
      <c r="EK26" s="128"/>
    </row>
    <row r="27" spans="1:141" x14ac:dyDescent="0.4">
      <c r="A27" s="74">
        <f t="shared" si="0"/>
        <v>5</v>
      </c>
      <c r="B27" s="74">
        <v>23</v>
      </c>
      <c r="C27" s="127">
        <f>DATE(Jaartal,July!$B$3,July!$B27)</f>
        <v>44035</v>
      </c>
      <c r="D27" s="104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6"/>
      <c r="AI27" s="104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6"/>
      <c r="BN27" s="104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6"/>
      <c r="CS27" s="104"/>
      <c r="CT27" s="105"/>
      <c r="CU27" s="105"/>
      <c r="CV27" s="105"/>
      <c r="CW27" s="105"/>
      <c r="CX27" s="105"/>
      <c r="CY27" s="105"/>
      <c r="CZ27" s="105"/>
      <c r="DA27" s="105"/>
      <c r="DB27" s="105"/>
      <c r="DC27" s="105"/>
      <c r="DD27" s="105"/>
      <c r="DE27" s="105"/>
      <c r="DF27" s="105"/>
      <c r="DG27" s="105"/>
      <c r="DH27" s="105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U27" s="107"/>
      <c r="DV27" s="107"/>
      <c r="DW27" s="106"/>
      <c r="DX27" s="128"/>
      <c r="DY27" s="128"/>
      <c r="DZ27" s="128"/>
      <c r="EA27" s="128"/>
      <c r="EB27" s="128"/>
      <c r="EC27" s="128"/>
      <c r="ED27" s="128"/>
      <c r="EE27" s="128"/>
      <c r="EF27" s="128"/>
      <c r="EG27" s="128"/>
      <c r="EH27" s="128"/>
      <c r="EI27" s="128"/>
      <c r="EJ27" s="128"/>
      <c r="EK27" s="128"/>
    </row>
    <row r="28" spans="1:141" x14ac:dyDescent="0.4">
      <c r="A28" s="74">
        <f t="shared" si="0"/>
        <v>6</v>
      </c>
      <c r="B28" s="74">
        <v>24</v>
      </c>
      <c r="C28" s="127">
        <f>DATE(Jaartal,July!$B$3,July!$B28)</f>
        <v>44036</v>
      </c>
      <c r="D28" s="104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6"/>
      <c r="AI28" s="104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6"/>
      <c r="BN28" s="104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6"/>
      <c r="CS28" s="104"/>
      <c r="CT28" s="105"/>
      <c r="CU28" s="105"/>
      <c r="CV28" s="105"/>
      <c r="CW28" s="105"/>
      <c r="CX28" s="105"/>
      <c r="CY28" s="105"/>
      <c r="CZ28" s="105"/>
      <c r="DA28" s="105"/>
      <c r="DB28" s="105"/>
      <c r="DC28" s="105"/>
      <c r="DD28" s="105"/>
      <c r="DE28" s="105"/>
      <c r="DF28" s="105"/>
      <c r="DG28" s="105"/>
      <c r="DH28" s="105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6"/>
      <c r="DX28" s="128"/>
      <c r="DY28" s="128"/>
      <c r="DZ28" s="128"/>
      <c r="EA28" s="128"/>
      <c r="EB28" s="128"/>
      <c r="EC28" s="128"/>
      <c r="ED28" s="128"/>
      <c r="EE28" s="128"/>
      <c r="EF28" s="128"/>
      <c r="EG28" s="128"/>
      <c r="EH28" s="128"/>
      <c r="EI28" s="128"/>
      <c r="EJ28" s="128"/>
      <c r="EK28" s="128"/>
    </row>
    <row r="29" spans="1:141" x14ac:dyDescent="0.4">
      <c r="A29" s="74">
        <f t="shared" si="0"/>
        <v>7</v>
      </c>
      <c r="B29" s="74">
        <v>25</v>
      </c>
      <c r="C29" s="127">
        <f>DATE(Jaartal,July!$B$3,July!$B29)</f>
        <v>44037</v>
      </c>
      <c r="D29" s="104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6"/>
      <c r="AI29" s="104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6"/>
      <c r="BN29" s="104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6"/>
      <c r="CS29" s="104"/>
      <c r="CT29" s="105"/>
      <c r="CU29" s="105"/>
      <c r="CV29" s="105"/>
      <c r="CW29" s="105"/>
      <c r="CX29" s="105"/>
      <c r="CY29" s="105"/>
      <c r="CZ29" s="105"/>
      <c r="DA29" s="105"/>
      <c r="DB29" s="105"/>
      <c r="DC29" s="105"/>
      <c r="DD29" s="105"/>
      <c r="DE29" s="105"/>
      <c r="DF29" s="105"/>
      <c r="DG29" s="105"/>
      <c r="DH29" s="105"/>
      <c r="DI29" s="107"/>
      <c r="DJ29" s="107"/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U29" s="107"/>
      <c r="DV29" s="107"/>
      <c r="DW29" s="106"/>
      <c r="DX29" s="128"/>
      <c r="DY29" s="128"/>
      <c r="DZ29" s="128"/>
      <c r="EA29" s="128"/>
      <c r="EB29" s="128"/>
      <c r="EC29" s="128"/>
      <c r="ED29" s="128"/>
      <c r="EE29" s="128"/>
      <c r="EF29" s="128"/>
      <c r="EG29" s="128"/>
      <c r="EH29" s="128"/>
      <c r="EI29" s="128"/>
      <c r="EJ29" s="128"/>
      <c r="EK29" s="128"/>
    </row>
    <row r="30" spans="1:141" x14ac:dyDescent="0.4">
      <c r="A30" s="74">
        <f t="shared" si="0"/>
        <v>1</v>
      </c>
      <c r="B30" s="74">
        <v>26</v>
      </c>
      <c r="C30" s="127">
        <f>DATE(Jaartal,July!$B$3,July!$B30)</f>
        <v>44038</v>
      </c>
      <c r="D30" s="104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6"/>
      <c r="AI30" s="104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6"/>
      <c r="BN30" s="104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6"/>
      <c r="CS30" s="104"/>
      <c r="CT30" s="105"/>
      <c r="CU30" s="105"/>
      <c r="CV30" s="105"/>
      <c r="CW30" s="105"/>
      <c r="CX30" s="105"/>
      <c r="CY30" s="105"/>
      <c r="CZ30" s="105"/>
      <c r="DA30" s="105"/>
      <c r="DB30" s="105"/>
      <c r="DC30" s="105"/>
      <c r="DD30" s="105"/>
      <c r="DE30" s="105"/>
      <c r="DF30" s="105"/>
      <c r="DG30" s="105"/>
      <c r="DH30" s="105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U30" s="107"/>
      <c r="DV30" s="107"/>
      <c r="DW30" s="106"/>
      <c r="DX30" s="128"/>
      <c r="DY30" s="128"/>
      <c r="DZ30" s="128"/>
      <c r="EA30" s="128"/>
      <c r="EB30" s="128"/>
      <c r="EC30" s="128"/>
      <c r="ED30" s="128"/>
      <c r="EE30" s="128"/>
      <c r="EF30" s="128"/>
      <c r="EG30" s="128"/>
      <c r="EH30" s="128"/>
      <c r="EI30" s="128"/>
      <c r="EJ30" s="128"/>
      <c r="EK30" s="128"/>
    </row>
    <row r="31" spans="1:141" x14ac:dyDescent="0.4">
      <c r="A31" s="74">
        <f t="shared" si="0"/>
        <v>2</v>
      </c>
      <c r="B31" s="74">
        <v>27</v>
      </c>
      <c r="C31" s="127">
        <f>DATE(Jaartal,July!$B$3,July!$B31)</f>
        <v>44039</v>
      </c>
      <c r="D31" s="104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6"/>
      <c r="AI31" s="104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6"/>
      <c r="BN31" s="104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6"/>
      <c r="CS31" s="104"/>
      <c r="CT31" s="105"/>
      <c r="CU31" s="105"/>
      <c r="CV31" s="105"/>
      <c r="CW31" s="105"/>
      <c r="CX31" s="105"/>
      <c r="CY31" s="105"/>
      <c r="CZ31" s="105"/>
      <c r="DA31" s="105"/>
      <c r="DB31" s="105"/>
      <c r="DC31" s="105"/>
      <c r="DD31" s="105"/>
      <c r="DE31" s="105"/>
      <c r="DF31" s="105"/>
      <c r="DG31" s="105"/>
      <c r="DH31" s="105"/>
      <c r="DI31" s="107"/>
      <c r="DJ31" s="107"/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U31" s="107"/>
      <c r="DV31" s="107"/>
      <c r="DW31" s="106"/>
      <c r="DX31" s="128"/>
      <c r="DY31" s="128"/>
      <c r="DZ31" s="128"/>
      <c r="EA31" s="128"/>
      <c r="EB31" s="128"/>
      <c r="EC31" s="128"/>
      <c r="ED31" s="128"/>
      <c r="EE31" s="128"/>
      <c r="EF31" s="128"/>
      <c r="EG31" s="128"/>
      <c r="EH31" s="128"/>
      <c r="EI31" s="128"/>
      <c r="EJ31" s="128"/>
      <c r="EK31" s="128"/>
    </row>
    <row r="32" spans="1:141" x14ac:dyDescent="0.4">
      <c r="A32" s="74">
        <f t="shared" si="0"/>
        <v>3</v>
      </c>
      <c r="B32" s="74">
        <v>28</v>
      </c>
      <c r="C32" s="127">
        <f>DATE(Jaartal,July!$B$3,July!$B32)</f>
        <v>44040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6"/>
      <c r="AI32" s="104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6"/>
      <c r="BN32" s="104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6"/>
      <c r="CS32" s="104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6"/>
      <c r="DX32" s="128"/>
      <c r="DY32" s="128"/>
      <c r="DZ32" s="128"/>
      <c r="EA32" s="128"/>
      <c r="EB32" s="128"/>
      <c r="EC32" s="128"/>
      <c r="ED32" s="128"/>
      <c r="EE32" s="128"/>
      <c r="EF32" s="128"/>
      <c r="EG32" s="128"/>
      <c r="EH32" s="128"/>
      <c r="EI32" s="128"/>
      <c r="EJ32" s="128"/>
      <c r="EK32" s="128"/>
    </row>
    <row r="33" spans="1:141" x14ac:dyDescent="0.4">
      <c r="A33" s="74">
        <f t="shared" si="0"/>
        <v>4</v>
      </c>
      <c r="B33" s="74">
        <v>29</v>
      </c>
      <c r="C33" s="127">
        <f>DATE(Jaartal,July!$B$3,July!$B33)</f>
        <v>44041</v>
      </c>
      <c r="D33" s="104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6"/>
      <c r="AI33" s="104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6"/>
      <c r="BN33" s="104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6"/>
      <c r="CS33" s="104"/>
      <c r="CT33" s="105"/>
      <c r="CU33" s="105"/>
      <c r="CV33" s="105"/>
      <c r="CW33" s="105"/>
      <c r="CX33" s="105"/>
      <c r="CY33" s="105"/>
      <c r="CZ33" s="105"/>
      <c r="DA33" s="105"/>
      <c r="DB33" s="105"/>
      <c r="DC33" s="105"/>
      <c r="DD33" s="105"/>
      <c r="DE33" s="105"/>
      <c r="DF33" s="105"/>
      <c r="DG33" s="105"/>
      <c r="DH33" s="105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6"/>
      <c r="DX33" s="128"/>
      <c r="DY33" s="128"/>
      <c r="DZ33" s="128"/>
      <c r="EA33" s="128"/>
      <c r="EB33" s="128"/>
      <c r="EC33" s="128"/>
      <c r="ED33" s="128"/>
      <c r="EE33" s="128"/>
      <c r="EF33" s="128"/>
      <c r="EG33" s="128"/>
      <c r="EH33" s="128"/>
      <c r="EI33" s="128"/>
      <c r="EJ33" s="128"/>
      <c r="EK33" s="128"/>
    </row>
    <row r="34" spans="1:141" x14ac:dyDescent="0.4">
      <c r="A34" s="74">
        <f t="shared" si="0"/>
        <v>5</v>
      </c>
      <c r="B34" s="74">
        <v>30</v>
      </c>
      <c r="C34" s="127">
        <f>DATE(Jaartal,July!$B$3,July!$B34)</f>
        <v>44042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6"/>
      <c r="AI34" s="104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6"/>
      <c r="BN34" s="104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6"/>
      <c r="CS34" s="104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5"/>
      <c r="DH34" s="105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6"/>
      <c r="DX34" s="128"/>
      <c r="DY34" s="128"/>
      <c r="DZ34" s="128"/>
      <c r="EA34" s="128"/>
      <c r="EB34" s="128"/>
      <c r="EC34" s="128"/>
      <c r="ED34" s="128"/>
      <c r="EE34" s="128"/>
      <c r="EF34" s="128"/>
      <c r="EG34" s="128"/>
      <c r="EH34" s="128"/>
      <c r="EI34" s="128"/>
      <c r="EJ34" s="128"/>
      <c r="EK34" s="128"/>
    </row>
    <row r="35" spans="1:141" x14ac:dyDescent="0.4">
      <c r="A35" s="74">
        <f t="shared" si="0"/>
        <v>6</v>
      </c>
      <c r="B35" s="74">
        <v>31</v>
      </c>
      <c r="C35" s="127">
        <f>DATE(Jaartal,July!$B$3,July!$B35)</f>
        <v>44043</v>
      </c>
      <c r="D35" s="104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6"/>
      <c r="AI35" s="104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6"/>
      <c r="BN35" s="104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6"/>
      <c r="CS35" s="108"/>
      <c r="CT35" s="105"/>
      <c r="CU35" s="105"/>
      <c r="CV35" s="105"/>
      <c r="CW35" s="105"/>
      <c r="CX35" s="105"/>
      <c r="CY35" s="105"/>
      <c r="CZ35" s="105"/>
      <c r="DA35" s="105"/>
      <c r="DB35" s="105"/>
      <c r="DC35" s="105"/>
      <c r="DD35" s="105"/>
      <c r="DE35" s="105"/>
      <c r="DF35" s="105"/>
      <c r="DG35" s="105"/>
      <c r="DH35" s="105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6"/>
      <c r="DX35" s="128"/>
      <c r="DY35" s="128"/>
      <c r="DZ35" s="128"/>
      <c r="EA35" s="128"/>
      <c r="EB35" s="128"/>
      <c r="EC35" s="128"/>
      <c r="ED35" s="128"/>
      <c r="EE35" s="128"/>
      <c r="EF35" s="128"/>
      <c r="EG35" s="128"/>
      <c r="EH35" s="128"/>
      <c r="EI35" s="128"/>
      <c r="EJ35" s="128"/>
      <c r="EK35" s="128"/>
    </row>
    <row r="36" spans="1:141" x14ac:dyDescent="0.4">
      <c r="BR36" s="128"/>
      <c r="BS36" s="128"/>
      <c r="BT36" s="128"/>
      <c r="BU36" s="128"/>
      <c r="BV36" s="128"/>
      <c r="BY36" s="128"/>
      <c r="BZ36" s="128"/>
      <c r="CB36" s="128"/>
      <c r="CC36" s="128"/>
      <c r="CD36" s="128"/>
      <c r="CE36" s="128"/>
      <c r="CF36" s="128"/>
      <c r="CG36" s="128"/>
      <c r="CH36" s="128"/>
      <c r="CI36" s="128"/>
      <c r="CJ36" s="128"/>
      <c r="CK36" s="128"/>
      <c r="CL36" s="128"/>
      <c r="CM36" s="128"/>
      <c r="CN36" s="128"/>
      <c r="CO36" s="128"/>
      <c r="CP36" s="128"/>
      <c r="CQ36" s="128"/>
      <c r="CW36" s="128"/>
      <c r="CX36" s="128"/>
      <c r="CY36" s="128"/>
      <c r="CZ36" s="128"/>
      <c r="DA36" s="128"/>
      <c r="DD36" s="128"/>
      <c r="DE36" s="128"/>
      <c r="DG36" s="128"/>
      <c r="DH36" s="128"/>
      <c r="DI36" s="128"/>
      <c r="DJ36" s="128"/>
      <c r="DK36" s="128"/>
      <c r="DL36" s="128"/>
      <c r="DM36" s="128"/>
      <c r="DN36" s="128"/>
      <c r="DO36" s="128"/>
      <c r="DP36" s="128"/>
      <c r="DQ36" s="128"/>
      <c r="DR36" s="128"/>
      <c r="DS36" s="128"/>
      <c r="DT36" s="128"/>
      <c r="DU36" s="128"/>
      <c r="DV36" s="128"/>
    </row>
    <row r="38" spans="1:141" ht="13.5" thickBot="1" x14ac:dyDescent="0.45"/>
    <row r="39" spans="1:141" ht="13.5" thickBot="1" x14ac:dyDescent="0.45">
      <c r="D39" s="109" t="s">
        <v>7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1"/>
    </row>
    <row r="40" spans="1:141" ht="13.5" thickBot="1" x14ac:dyDescent="0.45">
      <c r="D40" s="112">
        <v>1</v>
      </c>
      <c r="E40" s="113" t="s">
        <v>4</v>
      </c>
      <c r="F40" s="113"/>
      <c r="G40" s="113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5"/>
    </row>
    <row r="41" spans="1:141" ht="13.5" thickBot="1" x14ac:dyDescent="0.45">
      <c r="D41" s="116">
        <v>2</v>
      </c>
      <c r="E41" s="117" t="s">
        <v>79</v>
      </c>
      <c r="F41" s="117"/>
      <c r="G41" s="117"/>
      <c r="H41" s="117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9"/>
    </row>
    <row r="42" spans="1:141" ht="13.5" thickBot="1" x14ac:dyDescent="0.45">
      <c r="D42" s="120">
        <v>3</v>
      </c>
      <c r="E42" s="117" t="s">
        <v>66</v>
      </c>
      <c r="F42" s="117"/>
      <c r="G42" s="117"/>
      <c r="H42" s="117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9"/>
    </row>
    <row r="43" spans="1:141" ht="13.5" thickBot="1" x14ac:dyDescent="0.45">
      <c r="D43" s="121"/>
      <c r="E43" s="122" t="s">
        <v>80</v>
      </c>
      <c r="F43" s="122"/>
      <c r="G43" s="122"/>
      <c r="H43" s="12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4"/>
    </row>
    <row r="44" spans="1:141" x14ac:dyDescent="0.4">
      <c r="D44" s="129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1"/>
      <c r="AI44" s="131"/>
      <c r="AR44" s="130"/>
      <c r="AS44" s="130"/>
      <c r="AV44" s="130"/>
      <c r="BW44" s="130"/>
      <c r="BX44" s="130"/>
      <c r="CA44" s="130"/>
      <c r="DB44" s="130"/>
      <c r="DC44" s="130"/>
      <c r="DF44" s="130"/>
    </row>
    <row r="52" spans="33:34" x14ac:dyDescent="0.4">
      <c r="AG52" s="128"/>
      <c r="AH52" s="128"/>
    </row>
    <row r="53" spans="33:34" x14ac:dyDescent="0.4">
      <c r="AG53" s="128"/>
      <c r="AH53" s="128"/>
    </row>
    <row r="54" spans="33:34" x14ac:dyDescent="0.4">
      <c r="AG54" s="128"/>
      <c r="AH54" s="128"/>
    </row>
    <row r="55" spans="33:34" x14ac:dyDescent="0.4">
      <c r="AG55" s="128"/>
      <c r="AH55" s="128"/>
    </row>
    <row r="56" spans="33:34" x14ac:dyDescent="0.4">
      <c r="AG56" s="128"/>
      <c r="AH56" s="128"/>
    </row>
  </sheetData>
  <sheetProtection sheet="1" objects="1" scenarios="1" selectLockedCells="1"/>
  <mergeCells count="13">
    <mergeCell ref="D39:AI39"/>
    <mergeCell ref="E40:AI40"/>
    <mergeCell ref="E41:AI41"/>
    <mergeCell ref="E42:AI42"/>
    <mergeCell ref="E43:AI43"/>
    <mergeCell ref="D1:AH1"/>
    <mergeCell ref="AI1:BM1"/>
    <mergeCell ref="BN1:CR1"/>
    <mergeCell ref="CS1:DW1"/>
    <mergeCell ref="AH3:AH4"/>
    <mergeCell ref="BM3:BM4"/>
    <mergeCell ref="CR3:CR4"/>
    <mergeCell ref="DW3:DW4"/>
  </mergeCells>
  <conditionalFormatting sqref="D5:L35 O5:P35 AT5:AU35 BY5:BZ35 DD5:DE35 R5:AQ35 AW5:BV35 CB5:DA35 DG5:DW35">
    <cfRule type="expression" dxfId="247" priority="33" stopIfTrue="1">
      <formula>D5=3</formula>
    </cfRule>
    <cfRule type="expression" dxfId="246" priority="34" stopIfTrue="1">
      <formula>D5=2</formula>
    </cfRule>
    <cfRule type="expression" dxfId="245" priority="35" stopIfTrue="1">
      <formula>D5=1</formula>
    </cfRule>
    <cfRule type="expression" dxfId="244" priority="36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243" priority="29" stopIfTrue="1">
      <formula>M5=3</formula>
    </cfRule>
    <cfRule type="expression" dxfId="242" priority="30" stopIfTrue="1">
      <formula>M5=2</formula>
    </cfRule>
    <cfRule type="expression" dxfId="241" priority="31" stopIfTrue="1">
      <formula>M5=1</formula>
    </cfRule>
    <cfRule type="expression" dxfId="240" priority="32" stopIfTrue="1">
      <formula>IF($A5=1,1,IF($A5=7,1,IF(M$2="Q",IF($A5=2,IF($B5&lt;8,IF(MOD($B$3,3)&lt;&gt;0,1,0),1),1),IF(M$2="M",IF($A5=2,IF($B5&gt;7,1,0),1),IF(M$2="W",IF($A5=2,0,1),0)))))</formula>
    </cfRule>
  </conditionalFormatting>
  <conditionalFormatting sqref="AR5:AS35">
    <cfRule type="expression" dxfId="239" priority="25" stopIfTrue="1">
      <formula>AR5=3</formula>
    </cfRule>
    <cfRule type="expression" dxfId="238" priority="26" stopIfTrue="1">
      <formula>AR5=2</formula>
    </cfRule>
    <cfRule type="expression" dxfId="237" priority="27" stopIfTrue="1">
      <formula>AR5=1</formula>
    </cfRule>
    <cfRule type="expression" dxfId="236" priority="28" stopIfTrue="1">
      <formula>IF($A5=1,1,IF($A5=7,1,IF(AR$2="Q",IF($A5=2,IF($B5&lt;8,IF(MOD($B$3,3)&lt;&gt;0,1,0),1),1),IF(AR$2="M",IF($A5=2,IF($B5&gt;7,1,0),1),IF(AR$2="W",IF($A5=2,0,1),0)))))</formula>
    </cfRule>
  </conditionalFormatting>
  <conditionalFormatting sqref="BW5:BX35">
    <cfRule type="expression" dxfId="235" priority="21" stopIfTrue="1">
      <formula>BW5=3</formula>
    </cfRule>
    <cfRule type="expression" dxfId="234" priority="22" stopIfTrue="1">
      <formula>BW5=2</formula>
    </cfRule>
    <cfRule type="expression" dxfId="233" priority="23" stopIfTrue="1">
      <formula>BW5=1</formula>
    </cfRule>
    <cfRule type="expression" dxfId="232" priority="24" stopIfTrue="1">
      <formula>IF($A5=1,1,IF($A5=7,1,IF(BW$2="Q",IF($A5=2,IF($B5&lt;8,IF(MOD($B$3,3)&lt;&gt;0,1,0),1),1),IF(BW$2="M",IF($A5=2,IF($B5&gt;7,1,0),1),IF(BW$2="W",IF($A5=2,0,1),0)))))</formula>
    </cfRule>
  </conditionalFormatting>
  <conditionalFormatting sqref="DB5:DC35">
    <cfRule type="expression" dxfId="231" priority="17" stopIfTrue="1">
      <formula>DB5=3</formula>
    </cfRule>
    <cfRule type="expression" dxfId="230" priority="18" stopIfTrue="1">
      <formula>DB5=2</formula>
    </cfRule>
    <cfRule type="expression" dxfId="229" priority="19" stopIfTrue="1">
      <formula>DB5=1</formula>
    </cfRule>
    <cfRule type="expression" dxfId="228" priority="20" stopIfTrue="1">
      <formula>IF($A5=1,1,IF($A5=7,1,IF(DB$2="Q",IF($A5=2,IF($B5&lt;8,IF(MOD($B$3,3)&lt;&gt;0,1,0),1),1),IF(DB$2="M",IF($A5=2,IF($B5&gt;7,1,0),1),IF(DB$2="W",IF($A5=2,0,1),0)))))</formula>
    </cfRule>
  </conditionalFormatting>
  <conditionalFormatting sqref="Q5:Q35">
    <cfRule type="expression" dxfId="227" priority="13" stopIfTrue="1">
      <formula>Q5=3</formula>
    </cfRule>
    <cfRule type="expression" dxfId="226" priority="14" stopIfTrue="1">
      <formula>Q5=2</formula>
    </cfRule>
    <cfRule type="expression" dxfId="225" priority="15" stopIfTrue="1">
      <formula>Q5=1</formula>
    </cfRule>
    <cfRule type="expression" dxfId="224" priority="16" stopIfTrue="1">
      <formula>IF($A5=1,1,IF($A5=7,1,IF(Q$2="Q",IF($A5=2,IF($B5&lt;8,IF(MOD($B$3,3)&lt;&gt;0,1,0),1),1),IF(Q$2="M",IF($A5=2,IF($B5&gt;7,1,0),1),IF(Q$2="W",IF($A5=2,0,1),0)))))</formula>
    </cfRule>
  </conditionalFormatting>
  <conditionalFormatting sqref="AV5:AV35">
    <cfRule type="expression" dxfId="223" priority="9" stopIfTrue="1">
      <formula>AV5=3</formula>
    </cfRule>
    <cfRule type="expression" dxfId="222" priority="10" stopIfTrue="1">
      <formula>AV5=2</formula>
    </cfRule>
    <cfRule type="expression" dxfId="221" priority="11" stopIfTrue="1">
      <formula>AV5=1</formula>
    </cfRule>
    <cfRule type="expression" dxfId="220" priority="12" stopIfTrue="1">
      <formula>IF($A5=1,1,IF($A5=7,1,IF(AV$2="Q",IF($A5=2,IF($B5&lt;8,IF(MOD($B$3,3)&lt;&gt;0,1,0),1),1),IF(AV$2="M",IF($A5=2,IF($B5&gt;7,1,0),1),IF(AV$2="W",IF($A5=2,0,1),0)))))</formula>
    </cfRule>
  </conditionalFormatting>
  <conditionalFormatting sqref="CA5:CA35">
    <cfRule type="expression" dxfId="219" priority="5" stopIfTrue="1">
      <formula>CA5=3</formula>
    </cfRule>
    <cfRule type="expression" dxfId="218" priority="6" stopIfTrue="1">
      <formula>CA5=2</formula>
    </cfRule>
    <cfRule type="expression" dxfId="217" priority="7" stopIfTrue="1">
      <formula>CA5=1</formula>
    </cfRule>
    <cfRule type="expression" dxfId="216" priority="8" stopIfTrue="1">
      <formula>IF($A5=1,1,IF($A5=7,1,IF(CA$2="Q",IF($A5=2,IF($B5&lt;8,IF(MOD($B$3,3)&lt;&gt;0,1,0),1),1),IF(CA$2="M",IF($A5=2,IF($B5&gt;7,1,0),1),IF(CA$2="W",IF($A5=2,0,1),0)))))</formula>
    </cfRule>
  </conditionalFormatting>
  <conditionalFormatting sqref="DF5:DF35">
    <cfRule type="expression" dxfId="215" priority="1" stopIfTrue="1">
      <formula>DF5=3</formula>
    </cfRule>
    <cfRule type="expression" dxfId="214" priority="2" stopIfTrue="1">
      <formula>DF5=2</formula>
    </cfRule>
    <cfRule type="expression" dxfId="213" priority="3" stopIfTrue="1">
      <formula>DF5=1</formula>
    </cfRule>
    <cfRule type="expression" dxfId="212" priority="4" stopIfTrue="1">
      <formula>IF($A5=1,1,IF($A5=7,1,IF(DF$2="Q",IF($A5=2,IF($B5&lt;8,IF(MOD($B$3,3)&lt;&gt;0,1,0),1),1),IF(DF$2="M",IF($A5=2,IF($B5&gt;7,1,0),1),IF(DF$2="W",IF($A5=2,0,1),0)))))</formula>
    </cfRule>
  </conditionalFormatting>
  <dataValidations count="4">
    <dataValidation type="list" allowBlank="1" showInputMessage="1" showErrorMessage="1" sqref="BN5:CQ35 D5:AG35 AI5:BL35 CS5:DV35" xr:uid="{4094F4B1-BA78-47BF-838F-45C3965991C9}">
      <formula1>Status</formula1>
    </dataValidation>
    <dataValidation type="list" allowBlank="1" showInputMessage="1" showErrorMessage="1" sqref="C3" xr:uid="{4607FB86-EF14-4A98-8C89-16040326FFB3}">
      <formula1>List_Maanden</formula1>
    </dataValidation>
    <dataValidation type="list" allowBlank="1" showInputMessage="1" showErrorMessage="1" sqref="DW5:DW35 CR5:CR35 BM5:BM35 AH5:AH35" xr:uid="{D8792EFE-6504-4761-AEFB-E102D90F073B}">
      <formula1>List_Personen</formula1>
    </dataValidation>
    <dataValidation type="list" allowBlank="1" showInputMessage="1" showErrorMessage="1" sqref="DB2:DC2 AR2:AS2 BW2:BX2 D2:AG2 AV2 CA2 DF2" xr:uid="{D6AF3624-1F27-471B-A4C0-69C863F6A97D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13029-6CEF-4922-B6C7-0D75E3EB5003}">
  <sheetPr codeName="Sheet13"/>
  <dimension ref="A1:EK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3.15" x14ac:dyDescent="0.4"/>
  <cols>
    <col min="1" max="1" width="8.796875" style="74" hidden="1" customWidth="1"/>
    <col min="2" max="2" width="4.265625" style="74" hidden="1" customWidth="1"/>
    <col min="3" max="3" width="25.73046875" style="74" bestFit="1" customWidth="1"/>
    <col min="4" max="5" width="3.19921875" style="74" bestFit="1" customWidth="1"/>
    <col min="6" max="8" width="3.19921875" style="74" customWidth="1"/>
    <col min="9" max="10" width="3.19921875" style="74" bestFit="1" customWidth="1"/>
    <col min="11" max="18" width="3.19921875" style="74" customWidth="1"/>
    <col min="19" max="19" width="3.19921875" style="74" bestFit="1" customWidth="1"/>
    <col min="20" max="24" width="3.19921875" style="74" customWidth="1"/>
    <col min="25" max="25" width="3.19921875" style="74" bestFit="1" customWidth="1"/>
    <col min="26" max="32" width="3.19921875" style="74" customWidth="1"/>
    <col min="33" max="33" width="2.73046875" style="74" bestFit="1" customWidth="1"/>
    <col min="34" max="34" width="14" style="74" bestFit="1" customWidth="1"/>
    <col min="35" max="39" width="3.19921875" style="74" bestFit="1" customWidth="1"/>
    <col min="40" max="46" width="3.19921875" style="74" customWidth="1"/>
    <col min="47" max="47" width="3.19921875" style="74" bestFit="1" customWidth="1"/>
    <col min="48" max="48" width="3.19921875" style="74" customWidth="1"/>
    <col min="49" max="49" width="3.19921875" style="74" bestFit="1" customWidth="1"/>
    <col min="50" max="50" width="2.73046875" style="74" bestFit="1" customWidth="1"/>
    <col min="51" max="64" width="2.73046875" style="74" customWidth="1"/>
    <col min="65" max="65" width="14" style="74" bestFit="1" customWidth="1"/>
    <col min="66" max="70" width="3.19921875" style="74" bestFit="1" customWidth="1"/>
    <col min="71" max="77" width="3.19921875" style="74" customWidth="1"/>
    <col min="78" max="78" width="3.19921875" style="74" bestFit="1" customWidth="1"/>
    <col min="79" max="79" width="3.19921875" style="74" customWidth="1"/>
    <col min="80" max="80" width="3.19921875" style="74" bestFit="1" customWidth="1"/>
    <col min="81" max="81" width="2.73046875" style="74" bestFit="1" customWidth="1"/>
    <col min="82" max="95" width="2.73046875" style="74" customWidth="1"/>
    <col min="96" max="96" width="14" style="74" bestFit="1" customWidth="1"/>
    <col min="97" max="102" width="3.19921875" style="74" bestFit="1" customWidth="1"/>
    <col min="103" max="110" width="3.19921875" style="74" customWidth="1"/>
    <col min="111" max="111" width="3.19921875" style="74" bestFit="1" customWidth="1"/>
    <col min="112" max="112" width="2.73046875" style="74" bestFit="1" customWidth="1"/>
    <col min="113" max="126" width="2.73046875" style="74" customWidth="1"/>
    <col min="127" max="127" width="14" style="74" bestFit="1" customWidth="1"/>
    <col min="128" max="128" width="6" style="74" customWidth="1"/>
    <col min="129" max="16384" width="9.06640625" style="74"/>
  </cols>
  <sheetData>
    <row r="1" spans="1:141" ht="18.399999999999999" thickBot="1" x14ac:dyDescent="0.6">
      <c r="C1" s="75" t="s">
        <v>5</v>
      </c>
      <c r="D1" s="76" t="s">
        <v>44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8"/>
      <c r="AI1" s="79" t="s">
        <v>45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1"/>
      <c r="BN1" s="82" t="s">
        <v>46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4"/>
      <c r="CS1" s="85" t="s">
        <v>47</v>
      </c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7"/>
    </row>
    <row r="2" spans="1:141" ht="13.5" thickBot="1" x14ac:dyDescent="0.45">
      <c r="A2" s="74" t="s">
        <v>13</v>
      </c>
      <c r="B2" s="74" t="s">
        <v>14</v>
      </c>
      <c r="C2" s="88" t="s">
        <v>3</v>
      </c>
      <c r="D2" s="89" t="str">
        <f>+Template!D2</f>
        <v>D</v>
      </c>
      <c r="E2" s="90" t="str">
        <f>+Template!E2</f>
        <v>D</v>
      </c>
      <c r="F2" s="90" t="str">
        <f>+Template!F2</f>
        <v>D</v>
      </c>
      <c r="G2" s="90" t="str">
        <f>+Template!G2</f>
        <v>D</v>
      </c>
      <c r="H2" s="90" t="str">
        <f>+Template!H2</f>
        <v>D</v>
      </c>
      <c r="I2" s="91" t="str">
        <f>+Template!I2</f>
        <v>D</v>
      </c>
      <c r="J2" s="91" t="str">
        <f>+Template!J2</f>
        <v>D</v>
      </c>
      <c r="K2" s="91" t="str">
        <f>+Template!K2</f>
        <v>D</v>
      </c>
      <c r="L2" s="91" t="str">
        <f>+Template!L2</f>
        <v>D</v>
      </c>
      <c r="M2" s="91" t="s">
        <v>2</v>
      </c>
      <c r="N2" s="91" t="s">
        <v>2</v>
      </c>
      <c r="O2" s="91" t="str">
        <f>+Template!O2</f>
        <v>D</v>
      </c>
      <c r="P2" s="91" t="str">
        <f>+Template!P2</f>
        <v>D</v>
      </c>
      <c r="Q2" s="91" t="s">
        <v>2</v>
      </c>
      <c r="R2" s="91" t="str">
        <f>+Template!R2</f>
        <v>D</v>
      </c>
      <c r="S2" s="91" t="str">
        <f>+Template!S2</f>
        <v>D</v>
      </c>
      <c r="T2" s="91" t="str">
        <f>+Template!T2</f>
        <v>D</v>
      </c>
      <c r="U2" s="91" t="str">
        <f>+Template!U2</f>
        <v>D</v>
      </c>
      <c r="V2" s="91" t="str">
        <f>+Template!V2</f>
        <v>D</v>
      </c>
      <c r="W2" s="91" t="str">
        <f>+Template!W2</f>
        <v>D</v>
      </c>
      <c r="X2" s="91" t="str">
        <f>+Template!X2</f>
        <v>W</v>
      </c>
      <c r="Y2" s="91" t="str">
        <f>+Template!Y2</f>
        <v>W</v>
      </c>
      <c r="Z2" s="91" t="str">
        <f>+Template!Z2</f>
        <v>W</v>
      </c>
      <c r="AA2" s="91" t="str">
        <f>+Template!AA2</f>
        <v>W</v>
      </c>
      <c r="AB2" s="91" t="str">
        <f>+Template!AB2</f>
        <v>M</v>
      </c>
      <c r="AC2" s="91" t="str">
        <f>+Template!AC2</f>
        <v>M</v>
      </c>
      <c r="AD2" s="91" t="str">
        <f>+Template!AD2</f>
        <v>M</v>
      </c>
      <c r="AE2" s="91" t="str">
        <f>+Template!AE2</f>
        <v>M</v>
      </c>
      <c r="AF2" s="91" t="str">
        <f>+Template!AF2</f>
        <v>Q</v>
      </c>
      <c r="AG2" s="91" t="str">
        <f>+Template!AG2</f>
        <v>Q</v>
      </c>
      <c r="AH2" s="92"/>
      <c r="AI2" s="89" t="str">
        <f>+Template!D2</f>
        <v>D</v>
      </c>
      <c r="AJ2" s="90" t="str">
        <f>+Template!E2</f>
        <v>D</v>
      </c>
      <c r="AK2" s="90" t="str">
        <f>+Template!F2</f>
        <v>D</v>
      </c>
      <c r="AL2" s="90" t="str">
        <f>+Template!G2</f>
        <v>D</v>
      </c>
      <c r="AM2" s="90" t="str">
        <f>+Template!H2</f>
        <v>D</v>
      </c>
      <c r="AN2" s="90" t="str">
        <f>+Template!I2</f>
        <v>D</v>
      </c>
      <c r="AO2" s="90" t="str">
        <f>+Template!J2</f>
        <v>D</v>
      </c>
      <c r="AP2" s="90" t="str">
        <f>+Template!K2</f>
        <v>D</v>
      </c>
      <c r="AQ2" s="90" t="str">
        <f>+Template!L2</f>
        <v>D</v>
      </c>
      <c r="AR2" s="91" t="s">
        <v>2</v>
      </c>
      <c r="AS2" s="91" t="s">
        <v>2</v>
      </c>
      <c r="AT2" s="90" t="str">
        <f>+Template!O2</f>
        <v>D</v>
      </c>
      <c r="AU2" s="91" t="str">
        <f>+Template!P2</f>
        <v>D</v>
      </c>
      <c r="AV2" s="91" t="s">
        <v>2</v>
      </c>
      <c r="AW2" s="91" t="str">
        <f>+Template!R2</f>
        <v>D</v>
      </c>
      <c r="AX2" s="91" t="str">
        <f>+Template!S2</f>
        <v>D</v>
      </c>
      <c r="AY2" s="91" t="str">
        <f>+Template!T2</f>
        <v>D</v>
      </c>
      <c r="AZ2" s="91" t="str">
        <f>+Template!U2</f>
        <v>D</v>
      </c>
      <c r="BA2" s="91" t="str">
        <f>+Template!V2</f>
        <v>D</v>
      </c>
      <c r="BB2" s="91" t="str">
        <f>+Template!W2</f>
        <v>D</v>
      </c>
      <c r="BC2" s="91" t="str">
        <f>+Template!X2</f>
        <v>W</v>
      </c>
      <c r="BD2" s="91" t="str">
        <f>+Template!Y2</f>
        <v>W</v>
      </c>
      <c r="BE2" s="91" t="str">
        <f>+Template!Z2</f>
        <v>W</v>
      </c>
      <c r="BF2" s="91" t="str">
        <f>+Template!AA2</f>
        <v>W</v>
      </c>
      <c r="BG2" s="91" t="str">
        <f>+Template!AB2</f>
        <v>M</v>
      </c>
      <c r="BH2" s="91" t="str">
        <f>+Template!AC2</f>
        <v>M</v>
      </c>
      <c r="BI2" s="91" t="str">
        <f>+Template!AD2</f>
        <v>M</v>
      </c>
      <c r="BJ2" s="91" t="str">
        <f>+Template!AE2</f>
        <v>M</v>
      </c>
      <c r="BK2" s="91" t="str">
        <f>+Template!AF2</f>
        <v>Q</v>
      </c>
      <c r="BL2" s="91" t="str">
        <f>+Template!AG2</f>
        <v>Q</v>
      </c>
      <c r="BM2" s="92"/>
      <c r="BN2" s="89" t="str">
        <f>+Template!D2</f>
        <v>D</v>
      </c>
      <c r="BO2" s="90" t="str">
        <f>+Template!E2</f>
        <v>D</v>
      </c>
      <c r="BP2" s="90" t="str">
        <f>+Template!F2</f>
        <v>D</v>
      </c>
      <c r="BQ2" s="90" t="str">
        <f>+Template!G2</f>
        <v>D</v>
      </c>
      <c r="BR2" s="90" t="str">
        <f>+Template!H2</f>
        <v>D</v>
      </c>
      <c r="BS2" s="90" t="str">
        <f>+Template!I2</f>
        <v>D</v>
      </c>
      <c r="BT2" s="90" t="str">
        <f>+Template!J2</f>
        <v>D</v>
      </c>
      <c r="BU2" s="90" t="str">
        <f>+Template!K2</f>
        <v>D</v>
      </c>
      <c r="BV2" s="90" t="str">
        <f>+Template!L2</f>
        <v>D</v>
      </c>
      <c r="BW2" s="91" t="s">
        <v>2</v>
      </c>
      <c r="BX2" s="91" t="s">
        <v>2</v>
      </c>
      <c r="BY2" s="90" t="str">
        <f>+Template!O2</f>
        <v>D</v>
      </c>
      <c r="BZ2" s="91" t="str">
        <f>+Template!P2</f>
        <v>D</v>
      </c>
      <c r="CA2" s="91" t="s">
        <v>2</v>
      </c>
      <c r="CB2" s="91" t="str">
        <f>+Template!R2</f>
        <v>D</v>
      </c>
      <c r="CC2" s="91" t="str">
        <f>+Template!S2</f>
        <v>D</v>
      </c>
      <c r="CD2" s="91" t="str">
        <f>+Template!T2</f>
        <v>D</v>
      </c>
      <c r="CE2" s="91" t="str">
        <f>+Template!U2</f>
        <v>D</v>
      </c>
      <c r="CF2" s="91" t="str">
        <f>+Template!V2</f>
        <v>D</v>
      </c>
      <c r="CG2" s="91" t="str">
        <f>+Template!W2</f>
        <v>D</v>
      </c>
      <c r="CH2" s="91" t="str">
        <f>+Template!X2</f>
        <v>W</v>
      </c>
      <c r="CI2" s="91" t="str">
        <f>+Template!Y2</f>
        <v>W</v>
      </c>
      <c r="CJ2" s="91" t="str">
        <f>+Template!Z2</f>
        <v>W</v>
      </c>
      <c r="CK2" s="91" t="str">
        <f>+Template!AA2</f>
        <v>W</v>
      </c>
      <c r="CL2" s="91" t="str">
        <f>+Template!AB2</f>
        <v>M</v>
      </c>
      <c r="CM2" s="91" t="str">
        <f>+Template!AC2</f>
        <v>M</v>
      </c>
      <c r="CN2" s="91" t="str">
        <f>+Template!AD2</f>
        <v>M</v>
      </c>
      <c r="CO2" s="91" t="str">
        <f>+Template!AE2</f>
        <v>M</v>
      </c>
      <c r="CP2" s="91" t="str">
        <f>+Template!AF2</f>
        <v>Q</v>
      </c>
      <c r="CQ2" s="91" t="str">
        <f>+Template!AG2</f>
        <v>Q</v>
      </c>
      <c r="CR2" s="92"/>
      <c r="CS2" s="89" t="str">
        <f>+Template!D2</f>
        <v>D</v>
      </c>
      <c r="CT2" s="90" t="str">
        <f>+Template!E2</f>
        <v>D</v>
      </c>
      <c r="CU2" s="90" t="str">
        <f>+Template!F2</f>
        <v>D</v>
      </c>
      <c r="CV2" s="90" t="str">
        <f>+Template!G2</f>
        <v>D</v>
      </c>
      <c r="CW2" s="90" t="str">
        <f>+Template!H2</f>
        <v>D</v>
      </c>
      <c r="CX2" s="91" t="str">
        <f>+Template!I2</f>
        <v>D</v>
      </c>
      <c r="CY2" s="91" t="str">
        <f>+Template!J2</f>
        <v>D</v>
      </c>
      <c r="CZ2" s="91" t="str">
        <f>+Template!K2</f>
        <v>D</v>
      </c>
      <c r="DA2" s="91" t="str">
        <f>+Template!L2</f>
        <v>D</v>
      </c>
      <c r="DB2" s="91" t="s">
        <v>2</v>
      </c>
      <c r="DC2" s="91" t="s">
        <v>2</v>
      </c>
      <c r="DD2" s="91" t="str">
        <f>+Template!O2</f>
        <v>D</v>
      </c>
      <c r="DE2" s="91" t="str">
        <f>+Template!P2</f>
        <v>D</v>
      </c>
      <c r="DF2" s="91" t="s">
        <v>2</v>
      </c>
      <c r="DG2" s="91" t="str">
        <f>+Template!R2</f>
        <v>D</v>
      </c>
      <c r="DH2" s="91" t="str">
        <f>+Template!S2</f>
        <v>D</v>
      </c>
      <c r="DI2" s="91" t="str">
        <f>+Template!T2</f>
        <v>D</v>
      </c>
      <c r="DJ2" s="91" t="str">
        <f>+Template!U2</f>
        <v>D</v>
      </c>
      <c r="DK2" s="91" t="str">
        <f>+Template!V2</f>
        <v>D</v>
      </c>
      <c r="DL2" s="91" t="str">
        <f>+Template!W2</f>
        <v>D</v>
      </c>
      <c r="DM2" s="91" t="str">
        <f>+Template!X2</f>
        <v>W</v>
      </c>
      <c r="DN2" s="91" t="str">
        <f>+Template!Y2</f>
        <v>W</v>
      </c>
      <c r="DO2" s="91" t="str">
        <f>+Template!Z2</f>
        <v>W</v>
      </c>
      <c r="DP2" s="91" t="str">
        <f>+Template!AA2</f>
        <v>W</v>
      </c>
      <c r="DQ2" s="91" t="str">
        <f>+Template!AB2</f>
        <v>M</v>
      </c>
      <c r="DR2" s="91" t="str">
        <f>+Template!AC2</f>
        <v>M</v>
      </c>
      <c r="DS2" s="91" t="str">
        <f>+Template!AD2</f>
        <v>M</v>
      </c>
      <c r="DT2" s="91" t="str">
        <f>+Template!AE2</f>
        <v>M</v>
      </c>
      <c r="DU2" s="91" t="str">
        <f>+Template!AF2</f>
        <v>Q</v>
      </c>
      <c r="DV2" s="91" t="str">
        <f>+Template!AG2</f>
        <v>Q</v>
      </c>
      <c r="DW2" s="92"/>
    </row>
    <row r="3" spans="1:141" ht="150" x14ac:dyDescent="0.4">
      <c r="B3" s="74">
        <f>VLOOKUP(C3,Data!E2:F13,2,FALSE)</f>
        <v>8</v>
      </c>
      <c r="C3" s="93" t="s">
        <v>63</v>
      </c>
      <c r="D3" s="94" t="str">
        <f>+Template!D3</f>
        <v>Quick environment check</v>
      </c>
      <c r="E3" s="95" t="str">
        <f>+Template!E3</f>
        <v>Health Analyzer Issues</v>
      </c>
      <c r="F3" s="95" t="str">
        <f>+Template!F3</f>
        <v>Content Database Status</v>
      </c>
      <c r="G3" s="95" t="str">
        <f>+Template!G3</f>
        <v>Upgrade Status Servers</v>
      </c>
      <c r="H3" s="95" t="str">
        <f>+Template!H3</f>
        <v>Upgrade Status Databases</v>
      </c>
      <c r="I3" s="95" t="str">
        <f>+Template!I3</f>
        <v>Failed Timer Jobs</v>
      </c>
      <c r="J3" s="95" t="str">
        <f>+Template!J3</f>
        <v>Deployment Status Solutions</v>
      </c>
      <c r="K3" s="95" t="str">
        <f>+Template!K3</f>
        <v>Content Database Size</v>
      </c>
      <c r="L3" s="95" t="str">
        <f>+Template!L3</f>
        <v>Service Application Status</v>
      </c>
      <c r="M3" s="95" t="s">
        <v>98</v>
      </c>
      <c r="N3" s="95" t="s">
        <v>99</v>
      </c>
      <c r="O3" s="95" t="str">
        <f>+Template!O3</f>
        <v>Search Topology</v>
      </c>
      <c r="P3" s="95" t="str">
        <f>+Template!P3</f>
        <v>Search Gatherer Logs</v>
      </c>
      <c r="Q3" s="95" t="s">
        <v>100</v>
      </c>
      <c r="R3" s="95" t="str">
        <f>+Template!R3</f>
        <v>Last Boot Time</v>
      </c>
      <c r="S3" s="95" t="str">
        <f>+Template!S3</f>
        <v>Running Services Check</v>
      </c>
      <c r="T3" s="95" t="str">
        <f>+Template!T3</f>
        <v>Scheduled Tasks</v>
      </c>
      <c r="U3" s="95" t="str">
        <f>+Template!U3</f>
        <v>Running websites en application pools</v>
      </c>
      <c r="V3" s="95" t="str">
        <f>+Template!V3</f>
        <v>Group Membership Check</v>
      </c>
      <c r="W3" s="95" t="str">
        <f>+Template!W3</f>
        <v>Backup Status</v>
      </c>
      <c r="X3" s="95" t="str">
        <f>+Template!X3</f>
        <v>Permissions Check</v>
      </c>
      <c r="Y3" s="95" t="str">
        <f>+Template!Y3</f>
        <v>New Updates</v>
      </c>
      <c r="Z3" s="95" t="str">
        <f>+Template!Z3</f>
        <v>Baseline Settings</v>
      </c>
      <c r="AA3" s="95" t="str">
        <f>+Template!AA3</f>
        <v>Access Check</v>
      </c>
      <c r="AB3" s="95" t="str">
        <f>+Template!AB3</f>
        <v>Missing Security Updates/Service Packs</v>
      </c>
      <c r="AC3" s="95" t="str">
        <f>+Template!AC3</f>
        <v>Policy Compliance</v>
      </c>
      <c r="AD3" s="95" t="str">
        <f>+Template!AD3</f>
        <v>Documentation Check</v>
      </c>
      <c r="AE3" s="95" t="str">
        <f>+Template!AE3</f>
        <v>SSL Certificates Check</v>
      </c>
      <c r="AF3" s="95" t="str">
        <f>+Template!AF3</f>
        <v>Disaster Recovery Test</v>
      </c>
      <c r="AG3" s="95" t="str">
        <f>+Template!AG3</f>
        <v>Lifecycle Check</v>
      </c>
      <c r="AH3" s="96" t="str">
        <f>+Template!AH3</f>
        <v>Performed by:</v>
      </c>
      <c r="AI3" s="94" t="str">
        <f>+Template!D3</f>
        <v>Quick environment check</v>
      </c>
      <c r="AJ3" s="95" t="str">
        <f>+Template!E3</f>
        <v>Health Analyzer Issues</v>
      </c>
      <c r="AK3" s="95" t="str">
        <f>+Template!F3</f>
        <v>Content Database Status</v>
      </c>
      <c r="AL3" s="95" t="str">
        <f>+Template!G3</f>
        <v>Upgrade Status Servers</v>
      </c>
      <c r="AM3" s="95" t="str">
        <f>+Template!H3</f>
        <v>Upgrade Status Databases</v>
      </c>
      <c r="AN3" s="95" t="str">
        <f>+Template!I3</f>
        <v>Failed Timer Jobs</v>
      </c>
      <c r="AO3" s="95" t="str">
        <f>+Template!J3</f>
        <v>Deployment Status Solutions</v>
      </c>
      <c r="AP3" s="95" t="str">
        <f>+Template!K3</f>
        <v>Content Database Size</v>
      </c>
      <c r="AQ3" s="95" t="str">
        <f>+Template!L3</f>
        <v>Service Application Status</v>
      </c>
      <c r="AR3" s="95" t="s">
        <v>98</v>
      </c>
      <c r="AS3" s="95" t="s">
        <v>99</v>
      </c>
      <c r="AT3" s="95" t="str">
        <f>+Template!O3</f>
        <v>Search Topology</v>
      </c>
      <c r="AU3" s="95" t="str">
        <f>+Template!P3</f>
        <v>Search Gatherer Logs</v>
      </c>
      <c r="AV3" s="95" t="s">
        <v>100</v>
      </c>
      <c r="AW3" s="95" t="str">
        <f>+Template!R3</f>
        <v>Last Boot Time</v>
      </c>
      <c r="AX3" s="95" t="str">
        <f>+Template!S3</f>
        <v>Running Services Check</v>
      </c>
      <c r="AY3" s="95" t="str">
        <f>+Template!T3</f>
        <v>Scheduled Tasks</v>
      </c>
      <c r="AZ3" s="95" t="str">
        <f>+Template!U3</f>
        <v>Running websites en application pools</v>
      </c>
      <c r="BA3" s="95" t="str">
        <f>+Template!V3</f>
        <v>Group Membership Check</v>
      </c>
      <c r="BB3" s="95" t="str">
        <f>+Template!W3</f>
        <v>Backup Status</v>
      </c>
      <c r="BC3" s="95" t="str">
        <f>+Template!X3</f>
        <v>Permissions Check</v>
      </c>
      <c r="BD3" s="95" t="str">
        <f>+Template!Y3</f>
        <v>New Updates</v>
      </c>
      <c r="BE3" s="95" t="str">
        <f>+Template!Z3</f>
        <v>Baseline Settings</v>
      </c>
      <c r="BF3" s="95" t="str">
        <f>+Template!AA3</f>
        <v>Access Check</v>
      </c>
      <c r="BG3" s="95" t="str">
        <f>+Template!AB3</f>
        <v>Missing Security Updates/Service Packs</v>
      </c>
      <c r="BH3" s="95" t="str">
        <f>+Template!AC3</f>
        <v>Policy Compliance</v>
      </c>
      <c r="BI3" s="95" t="str">
        <f>+Template!AD3</f>
        <v>Documentation Check</v>
      </c>
      <c r="BJ3" s="95" t="str">
        <f>+Template!AE3</f>
        <v>SSL Certificates Check</v>
      </c>
      <c r="BK3" s="95" t="str">
        <f>+Template!AF3</f>
        <v>Disaster Recovery Test</v>
      </c>
      <c r="BL3" s="95" t="str">
        <f>+Template!AG3</f>
        <v>Lifecycle Check</v>
      </c>
      <c r="BM3" s="96" t="str">
        <f>+Template!AH3</f>
        <v>Performed by:</v>
      </c>
      <c r="BN3" s="94" t="str">
        <f>+Template!D3</f>
        <v>Quick environment check</v>
      </c>
      <c r="BO3" s="95" t="str">
        <f>+Template!E3</f>
        <v>Health Analyzer Issues</v>
      </c>
      <c r="BP3" s="95" t="str">
        <f>+Template!F3</f>
        <v>Content Database Status</v>
      </c>
      <c r="BQ3" s="95" t="str">
        <f>+Template!G3</f>
        <v>Upgrade Status Servers</v>
      </c>
      <c r="BR3" s="95" t="str">
        <f>+Template!H3</f>
        <v>Upgrade Status Databases</v>
      </c>
      <c r="BS3" s="95" t="str">
        <f>+Template!I3</f>
        <v>Failed Timer Jobs</v>
      </c>
      <c r="BT3" s="95" t="str">
        <f>+Template!J3</f>
        <v>Deployment Status Solutions</v>
      </c>
      <c r="BU3" s="95" t="str">
        <f>+Template!K3</f>
        <v>Content Database Size</v>
      </c>
      <c r="BV3" s="95" t="str">
        <f>+Template!L3</f>
        <v>Service Application Status</v>
      </c>
      <c r="BW3" s="95" t="s">
        <v>98</v>
      </c>
      <c r="BX3" s="95" t="s">
        <v>99</v>
      </c>
      <c r="BY3" s="95" t="str">
        <f>+Template!O3</f>
        <v>Search Topology</v>
      </c>
      <c r="BZ3" s="95" t="str">
        <f>+Template!P3</f>
        <v>Search Gatherer Logs</v>
      </c>
      <c r="CA3" s="95" t="s">
        <v>100</v>
      </c>
      <c r="CB3" s="95" t="str">
        <f>+Template!R3</f>
        <v>Last Boot Time</v>
      </c>
      <c r="CC3" s="95" t="str">
        <f>+Template!S3</f>
        <v>Running Services Check</v>
      </c>
      <c r="CD3" s="95" t="str">
        <f>+Template!T3</f>
        <v>Scheduled Tasks</v>
      </c>
      <c r="CE3" s="95" t="str">
        <f>+Template!U3</f>
        <v>Running websites en application pools</v>
      </c>
      <c r="CF3" s="95" t="str">
        <f>+Template!V3</f>
        <v>Group Membership Check</v>
      </c>
      <c r="CG3" s="95" t="str">
        <f>+Template!W3</f>
        <v>Backup Status</v>
      </c>
      <c r="CH3" s="95" t="str">
        <f>+Template!X3</f>
        <v>Permissions Check</v>
      </c>
      <c r="CI3" s="95" t="str">
        <f>+Template!Y3</f>
        <v>New Updates</v>
      </c>
      <c r="CJ3" s="95" t="str">
        <f>+Template!Z3</f>
        <v>Baseline Settings</v>
      </c>
      <c r="CK3" s="95" t="str">
        <f>+Template!AA3</f>
        <v>Access Check</v>
      </c>
      <c r="CL3" s="95" t="str">
        <f>+Template!AB3</f>
        <v>Missing Security Updates/Service Packs</v>
      </c>
      <c r="CM3" s="95" t="str">
        <f>+Template!AC3</f>
        <v>Policy Compliance</v>
      </c>
      <c r="CN3" s="95" t="str">
        <f>+Template!AD3</f>
        <v>Documentation Check</v>
      </c>
      <c r="CO3" s="95" t="str">
        <f>+Template!AE3</f>
        <v>SSL Certificates Check</v>
      </c>
      <c r="CP3" s="95" t="str">
        <f>+Template!AF3</f>
        <v>Disaster Recovery Test</v>
      </c>
      <c r="CQ3" s="95" t="str">
        <f>+Template!AG3</f>
        <v>Lifecycle Check</v>
      </c>
      <c r="CR3" s="96" t="str">
        <f>+Template!AH3</f>
        <v>Performed by:</v>
      </c>
      <c r="CS3" s="94" t="str">
        <f>+Template!D3</f>
        <v>Quick environment check</v>
      </c>
      <c r="CT3" s="95" t="str">
        <f>+Template!E3</f>
        <v>Health Analyzer Issues</v>
      </c>
      <c r="CU3" s="95" t="str">
        <f>+Template!F3</f>
        <v>Content Database Status</v>
      </c>
      <c r="CV3" s="95" t="str">
        <f>+Template!G3</f>
        <v>Upgrade Status Servers</v>
      </c>
      <c r="CW3" s="95" t="str">
        <f>+Template!H3</f>
        <v>Upgrade Status Databases</v>
      </c>
      <c r="CX3" s="95" t="str">
        <f>+Template!I3</f>
        <v>Failed Timer Jobs</v>
      </c>
      <c r="CY3" s="95" t="str">
        <f>+Template!J3</f>
        <v>Deployment Status Solutions</v>
      </c>
      <c r="CZ3" s="95" t="str">
        <f>+Template!K3</f>
        <v>Content Database Size</v>
      </c>
      <c r="DA3" s="95" t="str">
        <f>+Template!L3</f>
        <v>Service Application Status</v>
      </c>
      <c r="DB3" s="95" t="s">
        <v>98</v>
      </c>
      <c r="DC3" s="95" t="s">
        <v>99</v>
      </c>
      <c r="DD3" s="95" t="str">
        <f>+Template!O3</f>
        <v>Search Topology</v>
      </c>
      <c r="DE3" s="95" t="str">
        <f>+Template!P3</f>
        <v>Search Gatherer Logs</v>
      </c>
      <c r="DF3" s="95" t="s">
        <v>100</v>
      </c>
      <c r="DG3" s="95" t="str">
        <f>+Template!R3</f>
        <v>Last Boot Time</v>
      </c>
      <c r="DH3" s="95" t="str">
        <f>+Template!S3</f>
        <v>Running Services Check</v>
      </c>
      <c r="DI3" s="95" t="str">
        <f>+Template!T3</f>
        <v>Scheduled Tasks</v>
      </c>
      <c r="DJ3" s="95" t="str">
        <f>+Template!U3</f>
        <v>Running websites en application pools</v>
      </c>
      <c r="DK3" s="95" t="str">
        <f>+Template!V3</f>
        <v>Group Membership Check</v>
      </c>
      <c r="DL3" s="95" t="str">
        <f>+Template!W3</f>
        <v>Backup Status</v>
      </c>
      <c r="DM3" s="95" t="str">
        <f>+Template!X3</f>
        <v>Permissions Check</v>
      </c>
      <c r="DN3" s="95" t="str">
        <f>+Template!Y3</f>
        <v>New Updates</v>
      </c>
      <c r="DO3" s="95" t="str">
        <f>+Template!Z3</f>
        <v>Baseline Settings</v>
      </c>
      <c r="DP3" s="95" t="str">
        <f>+Template!AA3</f>
        <v>Access Check</v>
      </c>
      <c r="DQ3" s="95" t="str">
        <f>+Template!AB3</f>
        <v>Missing Security Updates/Service Packs</v>
      </c>
      <c r="DR3" s="95" t="str">
        <f>+Template!AC3</f>
        <v>Policy Compliance</v>
      </c>
      <c r="DS3" s="95" t="str">
        <f>+Template!AD3</f>
        <v>Documentation Check</v>
      </c>
      <c r="DT3" s="95" t="str">
        <f>+Template!AE3</f>
        <v>SSL Certificates Check</v>
      </c>
      <c r="DU3" s="95" t="str">
        <f>+Template!AF3</f>
        <v>Disaster Recovery Test</v>
      </c>
      <c r="DV3" s="95" t="str">
        <f>+Template!AG3</f>
        <v>Lifecycle Check</v>
      </c>
      <c r="DW3" s="96" t="str">
        <f>+Template!AH3</f>
        <v>Performed by:</v>
      </c>
      <c r="DX3" s="125"/>
      <c r="DY3" s="126"/>
      <c r="DZ3" s="126"/>
      <c r="EA3" s="126"/>
    </row>
    <row r="4" spans="1:141" ht="23.25" customHeight="1" thickBot="1" x14ac:dyDescent="0.45">
      <c r="C4" s="97">
        <f>Jaartal</f>
        <v>2020</v>
      </c>
      <c r="D4" s="94">
        <f>+Template!D4</f>
        <v>1</v>
      </c>
      <c r="E4" s="95">
        <f>+Template!E4</f>
        <v>10</v>
      </c>
      <c r="F4" s="95">
        <f>+Template!F4</f>
        <v>11</v>
      </c>
      <c r="G4" s="95">
        <f>+Template!G4</f>
        <v>12</v>
      </c>
      <c r="H4" s="95">
        <f>+Template!H4</f>
        <v>13</v>
      </c>
      <c r="I4" s="95">
        <f>+Template!I4</f>
        <v>14</v>
      </c>
      <c r="J4" s="95">
        <f>+Template!J4</f>
        <v>15</v>
      </c>
      <c r="K4" s="95">
        <f>+Template!K4</f>
        <v>16</v>
      </c>
      <c r="L4" s="95">
        <f>+Template!L4</f>
        <v>17</v>
      </c>
      <c r="M4" s="95">
        <v>18</v>
      </c>
      <c r="N4" s="95">
        <v>19</v>
      </c>
      <c r="O4" s="95">
        <f>+Template!O4</f>
        <v>20</v>
      </c>
      <c r="P4" s="95">
        <f>+Template!P4</f>
        <v>21</v>
      </c>
      <c r="Q4" s="95">
        <v>22</v>
      </c>
      <c r="R4" s="95">
        <f>+Template!R4</f>
        <v>30</v>
      </c>
      <c r="S4" s="95">
        <f>+Template!S4</f>
        <v>31</v>
      </c>
      <c r="T4" s="95">
        <f>+Template!T4</f>
        <v>32</v>
      </c>
      <c r="U4" s="95">
        <f>+Template!U4</f>
        <v>33</v>
      </c>
      <c r="V4" s="95">
        <f>+Template!V4</f>
        <v>34</v>
      </c>
      <c r="W4" s="95">
        <f>+Template!W4</f>
        <v>40</v>
      </c>
      <c r="X4" s="95" t="str">
        <f>+Template!X4</f>
        <v>W01</v>
      </c>
      <c r="Y4" s="95" t="str">
        <f>+Template!Y4</f>
        <v>W02</v>
      </c>
      <c r="Z4" s="95" t="str">
        <f>+Template!Z4</f>
        <v>W03</v>
      </c>
      <c r="AA4" s="95" t="str">
        <f>+Template!AA4</f>
        <v>W04</v>
      </c>
      <c r="AB4" s="95" t="str">
        <f>+Template!AB4</f>
        <v>M01</v>
      </c>
      <c r="AC4" s="95" t="str">
        <f>+Template!AC4</f>
        <v>M02</v>
      </c>
      <c r="AD4" s="95" t="str">
        <f>+Template!AD4</f>
        <v>M03</v>
      </c>
      <c r="AE4" s="95" t="str">
        <f>+Template!AE4</f>
        <v>M04</v>
      </c>
      <c r="AF4" s="95" t="str">
        <f>+Template!AF4</f>
        <v>Q01</v>
      </c>
      <c r="AG4" s="95" t="str">
        <f>+Template!AG4</f>
        <v>Q02</v>
      </c>
      <c r="AH4" s="98"/>
      <c r="AI4" s="94">
        <f>+Template!D4</f>
        <v>1</v>
      </c>
      <c r="AJ4" s="95">
        <f>+Template!E4</f>
        <v>10</v>
      </c>
      <c r="AK4" s="95">
        <f>+Template!F4</f>
        <v>11</v>
      </c>
      <c r="AL4" s="95">
        <f>+Template!G4</f>
        <v>12</v>
      </c>
      <c r="AM4" s="95">
        <f>+Template!H4</f>
        <v>13</v>
      </c>
      <c r="AN4" s="95">
        <f>+Template!I4</f>
        <v>14</v>
      </c>
      <c r="AO4" s="95">
        <f>+Template!J4</f>
        <v>15</v>
      </c>
      <c r="AP4" s="95">
        <f>+Template!K4</f>
        <v>16</v>
      </c>
      <c r="AQ4" s="95">
        <f>+Template!L4</f>
        <v>17</v>
      </c>
      <c r="AR4" s="95">
        <v>18</v>
      </c>
      <c r="AS4" s="95">
        <v>19</v>
      </c>
      <c r="AT4" s="95">
        <f>+Template!O4</f>
        <v>20</v>
      </c>
      <c r="AU4" s="95">
        <f>+Template!P4</f>
        <v>21</v>
      </c>
      <c r="AV4" s="95">
        <v>22</v>
      </c>
      <c r="AW4" s="95">
        <f>+Template!R4</f>
        <v>30</v>
      </c>
      <c r="AX4" s="95">
        <f>+Template!S4</f>
        <v>31</v>
      </c>
      <c r="AY4" s="95">
        <f>+Template!T4</f>
        <v>32</v>
      </c>
      <c r="AZ4" s="95">
        <f>+Template!U4</f>
        <v>33</v>
      </c>
      <c r="BA4" s="95">
        <f>+Template!V4</f>
        <v>34</v>
      </c>
      <c r="BB4" s="95">
        <f>+Template!W4</f>
        <v>40</v>
      </c>
      <c r="BC4" s="95" t="str">
        <f>+Template!X4</f>
        <v>W01</v>
      </c>
      <c r="BD4" s="95" t="str">
        <f>+Template!Y4</f>
        <v>W02</v>
      </c>
      <c r="BE4" s="95" t="str">
        <f>+Template!Z4</f>
        <v>W03</v>
      </c>
      <c r="BF4" s="95" t="str">
        <f>+Template!AA4</f>
        <v>W04</v>
      </c>
      <c r="BG4" s="95" t="str">
        <f>+Template!AB4</f>
        <v>M01</v>
      </c>
      <c r="BH4" s="95" t="str">
        <f>+Template!AC4</f>
        <v>M02</v>
      </c>
      <c r="BI4" s="95" t="str">
        <f>+Template!AD4</f>
        <v>M03</v>
      </c>
      <c r="BJ4" s="95" t="str">
        <f>+Template!AE4</f>
        <v>M04</v>
      </c>
      <c r="BK4" s="95" t="str">
        <f>+Template!AF4</f>
        <v>Q01</v>
      </c>
      <c r="BL4" s="95" t="str">
        <f>+Template!AG4</f>
        <v>Q02</v>
      </c>
      <c r="BM4" s="98"/>
      <c r="BN4" s="94">
        <f>+Template!D4</f>
        <v>1</v>
      </c>
      <c r="BO4" s="95">
        <f>+Template!E4</f>
        <v>10</v>
      </c>
      <c r="BP4" s="95">
        <f>+Template!F4</f>
        <v>11</v>
      </c>
      <c r="BQ4" s="95">
        <f>+Template!G4</f>
        <v>12</v>
      </c>
      <c r="BR4" s="95">
        <f>+Template!H4</f>
        <v>13</v>
      </c>
      <c r="BS4" s="95">
        <f>+Template!I4</f>
        <v>14</v>
      </c>
      <c r="BT4" s="95">
        <f>+Template!J4</f>
        <v>15</v>
      </c>
      <c r="BU4" s="95">
        <f>+Template!K4</f>
        <v>16</v>
      </c>
      <c r="BV4" s="95">
        <f>+Template!L4</f>
        <v>17</v>
      </c>
      <c r="BW4" s="95">
        <v>18</v>
      </c>
      <c r="BX4" s="95">
        <v>19</v>
      </c>
      <c r="BY4" s="95">
        <f>+Template!O4</f>
        <v>20</v>
      </c>
      <c r="BZ4" s="95">
        <f>+Template!P4</f>
        <v>21</v>
      </c>
      <c r="CA4" s="95">
        <v>22</v>
      </c>
      <c r="CB4" s="95">
        <f>+Template!R4</f>
        <v>30</v>
      </c>
      <c r="CC4" s="95">
        <f>+Template!S4</f>
        <v>31</v>
      </c>
      <c r="CD4" s="95">
        <f>+Template!T4</f>
        <v>32</v>
      </c>
      <c r="CE4" s="95">
        <f>+Template!U4</f>
        <v>33</v>
      </c>
      <c r="CF4" s="95">
        <f>+Template!V4</f>
        <v>34</v>
      </c>
      <c r="CG4" s="95">
        <f>+Template!W4</f>
        <v>40</v>
      </c>
      <c r="CH4" s="95" t="str">
        <f>+Template!X4</f>
        <v>W01</v>
      </c>
      <c r="CI4" s="95" t="str">
        <f>+Template!Y4</f>
        <v>W02</v>
      </c>
      <c r="CJ4" s="95" t="str">
        <f>+Template!Z4</f>
        <v>W03</v>
      </c>
      <c r="CK4" s="95" t="str">
        <f>+Template!AA4</f>
        <v>W04</v>
      </c>
      <c r="CL4" s="95" t="str">
        <f>+Template!AB4</f>
        <v>M01</v>
      </c>
      <c r="CM4" s="95" t="str">
        <f>+Template!AC4</f>
        <v>M02</v>
      </c>
      <c r="CN4" s="95" t="str">
        <f>+Template!AD4</f>
        <v>M03</v>
      </c>
      <c r="CO4" s="95" t="str">
        <f>+Template!AE4</f>
        <v>M04</v>
      </c>
      <c r="CP4" s="95" t="str">
        <f>+Template!AF4</f>
        <v>Q01</v>
      </c>
      <c r="CQ4" s="95" t="str">
        <f>+Template!AG4</f>
        <v>Q02</v>
      </c>
      <c r="CR4" s="98"/>
      <c r="CS4" s="94">
        <f>+Template!D4</f>
        <v>1</v>
      </c>
      <c r="CT4" s="95">
        <f>+Template!E4</f>
        <v>10</v>
      </c>
      <c r="CU4" s="95">
        <f>+Template!F4</f>
        <v>11</v>
      </c>
      <c r="CV4" s="95">
        <f>+Template!G4</f>
        <v>12</v>
      </c>
      <c r="CW4" s="95">
        <f>+Template!H4</f>
        <v>13</v>
      </c>
      <c r="CX4" s="95">
        <f>+Template!I4</f>
        <v>14</v>
      </c>
      <c r="CY4" s="95">
        <f>+Template!J4</f>
        <v>15</v>
      </c>
      <c r="CZ4" s="95">
        <f>+Template!K4</f>
        <v>16</v>
      </c>
      <c r="DA4" s="95">
        <f>+Template!L4</f>
        <v>17</v>
      </c>
      <c r="DB4" s="95">
        <v>18</v>
      </c>
      <c r="DC4" s="95">
        <v>19</v>
      </c>
      <c r="DD4" s="95">
        <f>+Template!O4</f>
        <v>20</v>
      </c>
      <c r="DE4" s="95">
        <f>+Template!P4</f>
        <v>21</v>
      </c>
      <c r="DF4" s="95">
        <v>22</v>
      </c>
      <c r="DG4" s="95">
        <f>+Template!R4</f>
        <v>30</v>
      </c>
      <c r="DH4" s="95">
        <f>+Template!S4</f>
        <v>31</v>
      </c>
      <c r="DI4" s="95">
        <f>+Template!T4</f>
        <v>32</v>
      </c>
      <c r="DJ4" s="95">
        <f>+Template!U4</f>
        <v>33</v>
      </c>
      <c r="DK4" s="95">
        <f>+Template!V4</f>
        <v>34</v>
      </c>
      <c r="DL4" s="95">
        <f>+Template!W4</f>
        <v>40</v>
      </c>
      <c r="DM4" s="95" t="str">
        <f>+Template!X4</f>
        <v>W01</v>
      </c>
      <c r="DN4" s="95" t="str">
        <f>+Template!Y4</f>
        <v>W02</v>
      </c>
      <c r="DO4" s="95" t="str">
        <f>+Template!Z4</f>
        <v>W03</v>
      </c>
      <c r="DP4" s="95" t="str">
        <f>+Template!AA4</f>
        <v>W04</v>
      </c>
      <c r="DQ4" s="95" t="str">
        <f>+Template!AB4</f>
        <v>M01</v>
      </c>
      <c r="DR4" s="95" t="str">
        <f>+Template!AC4</f>
        <v>M02</v>
      </c>
      <c r="DS4" s="95" t="str">
        <f>+Template!AD4</f>
        <v>M03</v>
      </c>
      <c r="DT4" s="95" t="str">
        <f>+Template!AE4</f>
        <v>M04</v>
      </c>
      <c r="DU4" s="95" t="str">
        <f>+Template!AF4</f>
        <v>Q01</v>
      </c>
      <c r="DV4" s="95" t="str">
        <f>+Template!AG4</f>
        <v>Q02</v>
      </c>
      <c r="DW4" s="98"/>
      <c r="DX4" s="125"/>
      <c r="DY4" s="126"/>
      <c r="DZ4" s="126"/>
      <c r="EA4" s="126"/>
    </row>
    <row r="5" spans="1:141" x14ac:dyDescent="0.4">
      <c r="A5" s="74">
        <f>WEEKDAY(C5)</f>
        <v>7</v>
      </c>
      <c r="B5" s="74">
        <v>1</v>
      </c>
      <c r="C5" s="127">
        <f>DATE(Jaartal,August!$B$3,August!$B5)</f>
        <v>44044</v>
      </c>
      <c r="D5" s="100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2"/>
      <c r="AI5" s="100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2"/>
      <c r="BN5" s="100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2"/>
      <c r="CS5" s="100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3"/>
      <c r="DJ5" s="103"/>
      <c r="DK5" s="103"/>
      <c r="DL5" s="103"/>
      <c r="DM5" s="103"/>
      <c r="DN5" s="103"/>
      <c r="DO5" s="103"/>
      <c r="DP5" s="103"/>
      <c r="DQ5" s="103"/>
      <c r="DR5" s="103"/>
      <c r="DS5" s="103"/>
      <c r="DT5" s="103"/>
      <c r="DU5" s="103"/>
      <c r="DV5" s="103"/>
      <c r="DW5" s="102"/>
      <c r="DX5" s="128"/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</row>
    <row r="6" spans="1:141" x14ac:dyDescent="0.4">
      <c r="A6" s="74">
        <f t="shared" ref="A6:A35" si="0">WEEKDAY(C6)</f>
        <v>1</v>
      </c>
      <c r="B6" s="74">
        <v>2</v>
      </c>
      <c r="C6" s="127">
        <f>DATE(Jaartal,August!$B$3,August!$B6)</f>
        <v>44045</v>
      </c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6"/>
      <c r="AI6" s="104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6"/>
      <c r="BN6" s="104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6"/>
      <c r="CS6" s="104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6"/>
      <c r="DX6" s="128"/>
      <c r="DY6" s="128"/>
      <c r="DZ6" s="128"/>
      <c r="EA6" s="128"/>
      <c r="EB6" s="128"/>
      <c r="EC6" s="128"/>
      <c r="ED6" s="128"/>
      <c r="EE6" s="128"/>
      <c r="EF6" s="128"/>
      <c r="EG6" s="128"/>
      <c r="EH6" s="128"/>
      <c r="EI6" s="128"/>
      <c r="EJ6" s="128"/>
      <c r="EK6" s="128"/>
    </row>
    <row r="7" spans="1:141" x14ac:dyDescent="0.4">
      <c r="A7" s="74">
        <f t="shared" si="0"/>
        <v>2</v>
      </c>
      <c r="B7" s="74">
        <v>3</v>
      </c>
      <c r="C7" s="127">
        <f>DATE(Jaartal,August!$B$3,August!$B7)</f>
        <v>44046</v>
      </c>
      <c r="D7" s="104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6"/>
      <c r="AI7" s="104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6"/>
      <c r="BN7" s="104"/>
      <c r="BO7" s="105"/>
      <c r="BP7" s="105"/>
      <c r="BQ7" s="105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6"/>
      <c r="CS7" s="104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6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</row>
    <row r="8" spans="1:141" x14ac:dyDescent="0.4">
      <c r="A8" s="74">
        <f t="shared" si="0"/>
        <v>3</v>
      </c>
      <c r="B8" s="74">
        <v>4</v>
      </c>
      <c r="C8" s="127">
        <f>DATE(Jaartal,August!$B$3,August!$B8)</f>
        <v>44047</v>
      </c>
      <c r="D8" s="104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6"/>
      <c r="AI8" s="104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6"/>
      <c r="BN8" s="104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6"/>
      <c r="CS8" s="104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/>
      <c r="DT8" s="107"/>
      <c r="DU8" s="107"/>
      <c r="DV8" s="107"/>
      <c r="DW8" s="106"/>
      <c r="DX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</row>
    <row r="9" spans="1:141" x14ac:dyDescent="0.4">
      <c r="A9" s="74">
        <f t="shared" si="0"/>
        <v>4</v>
      </c>
      <c r="B9" s="74">
        <v>5</v>
      </c>
      <c r="C9" s="127">
        <f>DATE(Jaartal,August!$B$3,August!$B9)</f>
        <v>44048</v>
      </c>
      <c r="D9" s="104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6"/>
      <c r="AI9" s="104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6"/>
      <c r="BN9" s="104"/>
      <c r="BO9" s="105"/>
      <c r="BP9" s="105"/>
      <c r="BQ9" s="105"/>
      <c r="BR9" s="105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6"/>
      <c r="CS9" s="104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5"/>
      <c r="DH9" s="105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6"/>
      <c r="DX9" s="128"/>
      <c r="DY9" s="128"/>
      <c r="DZ9" s="128"/>
      <c r="EA9" s="128"/>
      <c r="EB9" s="128"/>
      <c r="EC9" s="128"/>
      <c r="ED9" s="128"/>
      <c r="EE9" s="128"/>
      <c r="EF9" s="128"/>
      <c r="EG9" s="128"/>
      <c r="EH9" s="128"/>
      <c r="EI9" s="128"/>
      <c r="EJ9" s="128"/>
      <c r="EK9" s="128"/>
    </row>
    <row r="10" spans="1:141" x14ac:dyDescent="0.4">
      <c r="A10" s="74">
        <f t="shared" si="0"/>
        <v>5</v>
      </c>
      <c r="B10" s="74">
        <v>6</v>
      </c>
      <c r="C10" s="127">
        <f>DATE(Jaartal,August!$B$3,August!$B10)</f>
        <v>44049</v>
      </c>
      <c r="D10" s="104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6"/>
      <c r="AI10" s="104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6"/>
      <c r="BN10" s="104"/>
      <c r="BO10" s="105"/>
      <c r="BP10" s="105"/>
      <c r="BQ10" s="105"/>
      <c r="BR10" s="105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6"/>
      <c r="CS10" s="104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5"/>
      <c r="DH10" s="105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6"/>
      <c r="DX10" s="128"/>
      <c r="DY10" s="128"/>
      <c r="DZ10" s="128"/>
      <c r="EA10" s="128"/>
      <c r="EB10" s="128"/>
      <c r="EC10" s="128"/>
      <c r="ED10" s="128"/>
      <c r="EE10" s="128"/>
      <c r="EF10" s="128"/>
      <c r="EG10" s="128"/>
      <c r="EH10" s="128"/>
      <c r="EI10" s="128"/>
      <c r="EJ10" s="128"/>
      <c r="EK10" s="128"/>
    </row>
    <row r="11" spans="1:141" x14ac:dyDescent="0.4">
      <c r="A11" s="74">
        <f t="shared" si="0"/>
        <v>6</v>
      </c>
      <c r="B11" s="74">
        <v>7</v>
      </c>
      <c r="C11" s="127">
        <f>DATE(Jaartal,August!$B$3,August!$B11)</f>
        <v>44050</v>
      </c>
      <c r="D11" s="104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6"/>
      <c r="AI11" s="104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6"/>
      <c r="BN11" s="104"/>
      <c r="BO11" s="105"/>
      <c r="BP11" s="105"/>
      <c r="BQ11" s="105"/>
      <c r="BR11" s="105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6"/>
      <c r="CS11" s="104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5"/>
      <c r="DH11" s="105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6"/>
      <c r="DX11" s="128"/>
      <c r="DY11" s="128"/>
      <c r="DZ11" s="128"/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</row>
    <row r="12" spans="1:141" x14ac:dyDescent="0.4">
      <c r="A12" s="74">
        <f t="shared" si="0"/>
        <v>7</v>
      </c>
      <c r="B12" s="74">
        <v>8</v>
      </c>
      <c r="C12" s="127">
        <f>DATE(Jaartal,August!$B$3,August!$B12)</f>
        <v>44051</v>
      </c>
      <c r="D12" s="104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6"/>
      <c r="AI12" s="104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6"/>
      <c r="BN12" s="104"/>
      <c r="BO12" s="105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6"/>
      <c r="CS12" s="104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5"/>
      <c r="DH12" s="105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6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</row>
    <row r="13" spans="1:141" x14ac:dyDescent="0.4">
      <c r="A13" s="74">
        <f t="shared" si="0"/>
        <v>1</v>
      </c>
      <c r="B13" s="74">
        <v>9</v>
      </c>
      <c r="C13" s="127">
        <f>DATE(Jaartal,August!$B$3,August!$B13)</f>
        <v>44052</v>
      </c>
      <c r="D13" s="104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6"/>
      <c r="AI13" s="104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6"/>
      <c r="BN13" s="104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6"/>
      <c r="CS13" s="104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5"/>
      <c r="DH13" s="105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6"/>
      <c r="DX13" s="128"/>
      <c r="DY13" s="128"/>
      <c r="DZ13" s="128"/>
      <c r="EA13" s="128"/>
      <c r="EB13" s="128"/>
      <c r="EC13" s="128"/>
      <c r="ED13" s="128"/>
      <c r="EE13" s="128"/>
      <c r="EF13" s="128"/>
      <c r="EG13" s="128"/>
      <c r="EH13" s="128"/>
      <c r="EI13" s="128"/>
      <c r="EJ13" s="128"/>
      <c r="EK13" s="128"/>
    </row>
    <row r="14" spans="1:141" x14ac:dyDescent="0.4">
      <c r="A14" s="74">
        <f t="shared" si="0"/>
        <v>2</v>
      </c>
      <c r="B14" s="74">
        <v>10</v>
      </c>
      <c r="C14" s="127">
        <f>DATE(Jaartal,August!$B$3,August!$B14)</f>
        <v>44053</v>
      </c>
      <c r="D14" s="104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6"/>
      <c r="AI14" s="104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6"/>
      <c r="BN14" s="104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6"/>
      <c r="CS14" s="104"/>
      <c r="CT14" s="105"/>
      <c r="CU14" s="105"/>
      <c r="CV14" s="105"/>
      <c r="CW14" s="105"/>
      <c r="CX14" s="105"/>
      <c r="CY14" s="105"/>
      <c r="CZ14" s="105"/>
      <c r="DA14" s="105"/>
      <c r="DB14" s="105"/>
      <c r="DC14" s="105"/>
      <c r="DD14" s="105"/>
      <c r="DE14" s="105"/>
      <c r="DF14" s="105"/>
      <c r="DG14" s="105"/>
      <c r="DH14" s="105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6"/>
      <c r="DX14" s="128"/>
      <c r="DY14" s="128"/>
      <c r="DZ14" s="128"/>
      <c r="EA14" s="128"/>
      <c r="EB14" s="128"/>
      <c r="EC14" s="128"/>
      <c r="ED14" s="128"/>
      <c r="EE14" s="128"/>
      <c r="EF14" s="128"/>
      <c r="EG14" s="128"/>
      <c r="EH14" s="128"/>
      <c r="EI14" s="128"/>
      <c r="EJ14" s="128"/>
      <c r="EK14" s="128"/>
    </row>
    <row r="15" spans="1:141" x14ac:dyDescent="0.4">
      <c r="A15" s="74">
        <f t="shared" si="0"/>
        <v>3</v>
      </c>
      <c r="B15" s="74">
        <v>11</v>
      </c>
      <c r="C15" s="127">
        <f>DATE(Jaartal,August!$B$3,August!$B15)</f>
        <v>44054</v>
      </c>
      <c r="D15" s="104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6"/>
      <c r="AI15" s="104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6"/>
      <c r="BN15" s="104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6"/>
      <c r="CS15" s="104"/>
      <c r="CT15" s="105"/>
      <c r="CU15" s="105"/>
      <c r="CV15" s="105"/>
      <c r="CW15" s="105"/>
      <c r="CX15" s="105"/>
      <c r="CY15" s="105"/>
      <c r="CZ15" s="105"/>
      <c r="DA15" s="105"/>
      <c r="DB15" s="105"/>
      <c r="DC15" s="105"/>
      <c r="DD15" s="105"/>
      <c r="DE15" s="105"/>
      <c r="DF15" s="105"/>
      <c r="DG15" s="105"/>
      <c r="DH15" s="105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6"/>
      <c r="DX15" s="128"/>
      <c r="DY15" s="128"/>
      <c r="DZ15" s="128"/>
      <c r="EA15" s="128"/>
      <c r="EB15" s="128"/>
      <c r="EC15" s="128"/>
      <c r="ED15" s="128"/>
      <c r="EE15" s="128"/>
      <c r="EF15" s="128"/>
      <c r="EG15" s="128"/>
      <c r="EH15" s="128"/>
      <c r="EI15" s="128"/>
      <c r="EJ15" s="128"/>
      <c r="EK15" s="128"/>
    </row>
    <row r="16" spans="1:141" x14ac:dyDescent="0.4">
      <c r="A16" s="74">
        <f t="shared" si="0"/>
        <v>4</v>
      </c>
      <c r="B16" s="74">
        <v>12</v>
      </c>
      <c r="C16" s="127">
        <f>DATE(Jaartal,August!$B$3,August!$B16)</f>
        <v>44055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6"/>
      <c r="AI16" s="104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6"/>
      <c r="BN16" s="104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6"/>
      <c r="DX16" s="128"/>
      <c r="DY16" s="128"/>
      <c r="DZ16" s="128"/>
      <c r="EA16" s="128"/>
      <c r="EB16" s="128"/>
      <c r="EC16" s="128"/>
      <c r="ED16" s="128"/>
      <c r="EE16" s="128"/>
      <c r="EF16" s="128"/>
      <c r="EG16" s="128"/>
      <c r="EH16" s="128"/>
      <c r="EI16" s="128"/>
      <c r="EJ16" s="128"/>
      <c r="EK16" s="128"/>
    </row>
    <row r="17" spans="1:141" x14ac:dyDescent="0.4">
      <c r="A17" s="74">
        <f t="shared" si="0"/>
        <v>5</v>
      </c>
      <c r="B17" s="74">
        <v>13</v>
      </c>
      <c r="C17" s="127">
        <f>DATE(Jaartal,August!$B$3,August!$B17)</f>
        <v>44056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6"/>
      <c r="AI17" s="104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6"/>
      <c r="BN17" s="104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6"/>
      <c r="CS17" s="104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6"/>
      <c r="DX17" s="128"/>
      <c r="DY17" s="128"/>
      <c r="DZ17" s="128"/>
      <c r="EA17" s="128"/>
      <c r="EB17" s="128"/>
      <c r="EC17" s="128"/>
      <c r="ED17" s="128"/>
      <c r="EE17" s="128"/>
      <c r="EF17" s="128"/>
      <c r="EG17" s="128"/>
      <c r="EH17" s="128"/>
      <c r="EI17" s="128"/>
      <c r="EJ17" s="128"/>
      <c r="EK17" s="128"/>
    </row>
    <row r="18" spans="1:141" x14ac:dyDescent="0.4">
      <c r="A18" s="74">
        <f t="shared" si="0"/>
        <v>6</v>
      </c>
      <c r="B18" s="74">
        <v>14</v>
      </c>
      <c r="C18" s="127">
        <f>DATE(Jaartal,August!$B$3,August!$B18)</f>
        <v>44057</v>
      </c>
      <c r="D18" s="104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6"/>
      <c r="AI18" s="104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6"/>
      <c r="BN18" s="104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6"/>
      <c r="CS18" s="104"/>
      <c r="CT18" s="105"/>
      <c r="CU18" s="105"/>
      <c r="CV18" s="105"/>
      <c r="CW18" s="105"/>
      <c r="CX18" s="105"/>
      <c r="CY18" s="105"/>
      <c r="CZ18" s="105"/>
      <c r="DA18" s="105"/>
      <c r="DB18" s="105"/>
      <c r="DC18" s="105"/>
      <c r="DD18" s="105"/>
      <c r="DE18" s="105"/>
      <c r="DF18" s="105"/>
      <c r="DG18" s="105"/>
      <c r="DH18" s="105"/>
      <c r="DI18" s="107"/>
      <c r="DJ18" s="107"/>
      <c r="DK18" s="107"/>
      <c r="DL18" s="107"/>
      <c r="DM18" s="107"/>
      <c r="DN18" s="107"/>
      <c r="DO18" s="107"/>
      <c r="DP18" s="107"/>
      <c r="DQ18" s="107"/>
      <c r="DR18" s="107"/>
      <c r="DS18" s="107"/>
      <c r="DT18" s="107"/>
      <c r="DU18" s="107"/>
      <c r="DV18" s="107"/>
      <c r="DW18" s="106"/>
      <c r="DX18" s="128"/>
      <c r="DY18" s="128"/>
      <c r="DZ18" s="128"/>
      <c r="EA18" s="128"/>
      <c r="EB18" s="128"/>
      <c r="EC18" s="128"/>
      <c r="ED18" s="128"/>
      <c r="EE18" s="128"/>
      <c r="EF18" s="128"/>
      <c r="EG18" s="128"/>
      <c r="EH18" s="128"/>
      <c r="EI18" s="128"/>
      <c r="EJ18" s="128"/>
      <c r="EK18" s="128"/>
    </row>
    <row r="19" spans="1:141" x14ac:dyDescent="0.4">
      <c r="A19" s="74">
        <f t="shared" si="0"/>
        <v>7</v>
      </c>
      <c r="B19" s="74">
        <v>15</v>
      </c>
      <c r="C19" s="127">
        <f>DATE(Jaartal,August!$B$3,August!$B19)</f>
        <v>44058</v>
      </c>
      <c r="D19" s="104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6"/>
      <c r="AI19" s="104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6"/>
      <c r="BN19" s="104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6"/>
      <c r="CS19" s="104"/>
      <c r="CT19" s="105"/>
      <c r="CU19" s="105"/>
      <c r="CV19" s="105"/>
      <c r="CW19" s="105"/>
      <c r="CX19" s="105"/>
      <c r="CY19" s="105"/>
      <c r="CZ19" s="105"/>
      <c r="DA19" s="105"/>
      <c r="DB19" s="105"/>
      <c r="DC19" s="105"/>
      <c r="DD19" s="105"/>
      <c r="DE19" s="105"/>
      <c r="DF19" s="105"/>
      <c r="DG19" s="105"/>
      <c r="DH19" s="105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6"/>
      <c r="DX19" s="128"/>
      <c r="DY19" s="128"/>
      <c r="DZ19" s="128"/>
      <c r="EA19" s="128"/>
      <c r="EB19" s="128"/>
      <c r="EC19" s="128"/>
      <c r="ED19" s="128"/>
      <c r="EE19" s="128"/>
      <c r="EF19" s="128"/>
      <c r="EG19" s="128"/>
      <c r="EH19" s="128"/>
      <c r="EI19" s="128"/>
      <c r="EJ19" s="128"/>
      <c r="EK19" s="128"/>
    </row>
    <row r="20" spans="1:141" x14ac:dyDescent="0.4">
      <c r="A20" s="74">
        <f t="shared" si="0"/>
        <v>1</v>
      </c>
      <c r="B20" s="74">
        <v>16</v>
      </c>
      <c r="C20" s="127">
        <f>DATE(Jaartal,August!$B$3,August!$B20)</f>
        <v>44059</v>
      </c>
      <c r="D20" s="104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6"/>
      <c r="AI20" s="104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6"/>
      <c r="BN20" s="104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6"/>
      <c r="CS20" s="104"/>
      <c r="CT20" s="105"/>
      <c r="CU20" s="105"/>
      <c r="CV20" s="105"/>
      <c r="CW20" s="105"/>
      <c r="CX20" s="105"/>
      <c r="CY20" s="105"/>
      <c r="CZ20" s="105"/>
      <c r="DA20" s="105"/>
      <c r="DB20" s="105"/>
      <c r="DC20" s="105"/>
      <c r="DD20" s="105"/>
      <c r="DE20" s="105"/>
      <c r="DF20" s="105"/>
      <c r="DG20" s="105"/>
      <c r="DH20" s="105"/>
      <c r="DI20" s="107"/>
      <c r="DJ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U20" s="107"/>
      <c r="DV20" s="107"/>
      <c r="DW20" s="106"/>
      <c r="DX20" s="128"/>
      <c r="DY20" s="128"/>
      <c r="DZ20" s="128"/>
      <c r="EA20" s="128"/>
      <c r="EB20" s="128"/>
      <c r="EC20" s="128"/>
      <c r="ED20" s="128"/>
      <c r="EE20" s="128"/>
      <c r="EF20" s="128"/>
      <c r="EG20" s="128"/>
      <c r="EH20" s="128"/>
      <c r="EI20" s="128"/>
      <c r="EJ20" s="128"/>
      <c r="EK20" s="128"/>
    </row>
    <row r="21" spans="1:141" x14ac:dyDescent="0.4">
      <c r="A21" s="74">
        <f t="shared" si="0"/>
        <v>2</v>
      </c>
      <c r="B21" s="74">
        <v>17</v>
      </c>
      <c r="C21" s="127">
        <f>DATE(Jaartal,August!$B$3,August!$B21)</f>
        <v>44060</v>
      </c>
      <c r="D21" s="104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6"/>
      <c r="AI21" s="104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6"/>
      <c r="BN21" s="104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6"/>
      <c r="CS21" s="104"/>
      <c r="CT21" s="105"/>
      <c r="CU21" s="105"/>
      <c r="CV21" s="105"/>
      <c r="CW21" s="105"/>
      <c r="CX21" s="105"/>
      <c r="CY21" s="105"/>
      <c r="CZ21" s="105"/>
      <c r="DA21" s="105"/>
      <c r="DB21" s="105"/>
      <c r="DC21" s="105"/>
      <c r="DD21" s="105"/>
      <c r="DE21" s="105"/>
      <c r="DF21" s="105"/>
      <c r="DG21" s="105"/>
      <c r="DH21" s="105"/>
      <c r="DI21" s="107"/>
      <c r="DJ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U21" s="107"/>
      <c r="DV21" s="107"/>
      <c r="DW21" s="106"/>
      <c r="DX21" s="128"/>
      <c r="DY21" s="128"/>
      <c r="DZ21" s="128"/>
      <c r="EA21" s="128"/>
      <c r="EB21" s="128"/>
      <c r="EC21" s="128"/>
      <c r="ED21" s="128"/>
      <c r="EE21" s="128"/>
      <c r="EF21" s="128"/>
      <c r="EG21" s="128"/>
      <c r="EH21" s="128"/>
      <c r="EI21" s="128"/>
      <c r="EJ21" s="128"/>
      <c r="EK21" s="128"/>
    </row>
    <row r="22" spans="1:141" x14ac:dyDescent="0.4">
      <c r="A22" s="74">
        <f t="shared" si="0"/>
        <v>3</v>
      </c>
      <c r="B22" s="74">
        <v>18</v>
      </c>
      <c r="C22" s="127">
        <f>DATE(Jaartal,August!$B$3,August!$B22)</f>
        <v>44061</v>
      </c>
      <c r="D22" s="104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6"/>
      <c r="AI22" s="104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6"/>
      <c r="BN22" s="104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6"/>
      <c r="CS22" s="104"/>
      <c r="CT22" s="105"/>
      <c r="CU22" s="105"/>
      <c r="CV22" s="105"/>
      <c r="CW22" s="105"/>
      <c r="CX22" s="105"/>
      <c r="CY22" s="105"/>
      <c r="CZ22" s="105"/>
      <c r="DA22" s="105"/>
      <c r="DB22" s="105"/>
      <c r="DC22" s="105"/>
      <c r="DD22" s="105"/>
      <c r="DE22" s="105"/>
      <c r="DF22" s="105"/>
      <c r="DG22" s="105"/>
      <c r="DH22" s="105"/>
      <c r="DI22" s="107"/>
      <c r="DJ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U22" s="107"/>
      <c r="DV22" s="107"/>
      <c r="DW22" s="106"/>
      <c r="DX22" s="128"/>
      <c r="DY22" s="128"/>
      <c r="DZ22" s="128"/>
      <c r="EA22" s="128"/>
      <c r="EB22" s="128"/>
      <c r="EC22" s="128"/>
      <c r="ED22" s="128"/>
      <c r="EE22" s="128"/>
      <c r="EF22" s="128"/>
      <c r="EG22" s="128"/>
      <c r="EH22" s="128"/>
      <c r="EI22" s="128"/>
      <c r="EJ22" s="128"/>
      <c r="EK22" s="128"/>
    </row>
    <row r="23" spans="1:141" x14ac:dyDescent="0.4">
      <c r="A23" s="74">
        <f t="shared" si="0"/>
        <v>4</v>
      </c>
      <c r="B23" s="74">
        <v>19</v>
      </c>
      <c r="C23" s="127">
        <f>DATE(Jaartal,August!$B$3,August!$B23)</f>
        <v>44062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6"/>
      <c r="AI23" s="104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6"/>
      <c r="BN23" s="104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7"/>
      <c r="CE23" s="107"/>
      <c r="CF23" s="107"/>
      <c r="CG23" s="107"/>
      <c r="CH23" s="107"/>
      <c r="CI23" s="107"/>
      <c r="CJ23" s="107"/>
      <c r="CK23" s="107"/>
      <c r="CL23" s="107"/>
      <c r="CM23" s="107"/>
      <c r="CN23" s="107"/>
      <c r="CO23" s="107"/>
      <c r="CP23" s="107"/>
      <c r="CQ23" s="107"/>
      <c r="CR23" s="106"/>
      <c r="CS23" s="104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5"/>
      <c r="DH23" s="105"/>
      <c r="DI23" s="107"/>
      <c r="DJ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U23" s="107"/>
      <c r="DV23" s="107"/>
      <c r="DW23" s="106"/>
      <c r="DX23" s="128"/>
      <c r="DY23" s="128"/>
      <c r="DZ23" s="128"/>
      <c r="EA23" s="128"/>
      <c r="EB23" s="128"/>
      <c r="EC23" s="128"/>
      <c r="ED23" s="128"/>
      <c r="EE23" s="128"/>
      <c r="EF23" s="128"/>
      <c r="EG23" s="128"/>
      <c r="EH23" s="128"/>
      <c r="EI23" s="128"/>
      <c r="EJ23" s="128"/>
      <c r="EK23" s="128"/>
    </row>
    <row r="24" spans="1:141" x14ac:dyDescent="0.4">
      <c r="A24" s="74">
        <f t="shared" si="0"/>
        <v>5</v>
      </c>
      <c r="B24" s="74">
        <v>20</v>
      </c>
      <c r="C24" s="127">
        <f>DATE(Jaartal,August!$B$3,August!$B24)</f>
        <v>44063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6"/>
      <c r="AI24" s="104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6"/>
      <c r="BN24" s="104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6"/>
      <c r="DX24" s="128"/>
      <c r="DY24" s="128"/>
      <c r="DZ24" s="128"/>
      <c r="EA24" s="128"/>
      <c r="EB24" s="128"/>
      <c r="EC24" s="128"/>
      <c r="ED24" s="128"/>
      <c r="EE24" s="128"/>
      <c r="EF24" s="128"/>
      <c r="EG24" s="128"/>
      <c r="EH24" s="128"/>
      <c r="EI24" s="128"/>
      <c r="EJ24" s="128"/>
      <c r="EK24" s="128"/>
    </row>
    <row r="25" spans="1:141" x14ac:dyDescent="0.4">
      <c r="A25" s="74">
        <f t="shared" si="0"/>
        <v>6</v>
      </c>
      <c r="B25" s="74">
        <v>21</v>
      </c>
      <c r="C25" s="127">
        <f>DATE(Jaartal,August!$B$3,August!$B25)</f>
        <v>44064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6"/>
      <c r="AI25" s="104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6"/>
      <c r="BN25" s="104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U25" s="107"/>
      <c r="DV25" s="107"/>
      <c r="DW25" s="106"/>
      <c r="DX25" s="128"/>
      <c r="DY25" s="128"/>
      <c r="DZ25" s="128"/>
      <c r="EA25" s="128"/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</row>
    <row r="26" spans="1:141" x14ac:dyDescent="0.4">
      <c r="A26" s="74">
        <f t="shared" si="0"/>
        <v>7</v>
      </c>
      <c r="B26" s="74">
        <v>22</v>
      </c>
      <c r="C26" s="127">
        <f>DATE(Jaartal,August!$B$3,August!$B26)</f>
        <v>44065</v>
      </c>
      <c r="D26" s="104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6"/>
      <c r="AI26" s="104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6"/>
      <c r="BN26" s="104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6"/>
      <c r="CS26" s="104"/>
      <c r="CT26" s="105"/>
      <c r="CU26" s="105"/>
      <c r="CV26" s="105"/>
      <c r="CW26" s="105"/>
      <c r="CX26" s="105"/>
      <c r="CY26" s="105"/>
      <c r="CZ26" s="105"/>
      <c r="DA26" s="105"/>
      <c r="DB26" s="105"/>
      <c r="DC26" s="105"/>
      <c r="DD26" s="105"/>
      <c r="DE26" s="105"/>
      <c r="DF26" s="105"/>
      <c r="DG26" s="105"/>
      <c r="DH26" s="105"/>
      <c r="DI26" s="107"/>
      <c r="DJ26" s="107"/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U26" s="107"/>
      <c r="DV26" s="107"/>
      <c r="DW26" s="106"/>
      <c r="DX26" s="128"/>
      <c r="DY26" s="128"/>
      <c r="DZ26" s="128"/>
      <c r="EA26" s="128"/>
      <c r="EB26" s="128"/>
      <c r="EC26" s="128"/>
      <c r="ED26" s="128"/>
      <c r="EE26" s="128"/>
      <c r="EF26" s="128"/>
      <c r="EG26" s="128"/>
      <c r="EH26" s="128"/>
      <c r="EI26" s="128"/>
      <c r="EJ26" s="128"/>
      <c r="EK26" s="128"/>
    </row>
    <row r="27" spans="1:141" x14ac:dyDescent="0.4">
      <c r="A27" s="74">
        <f t="shared" si="0"/>
        <v>1</v>
      </c>
      <c r="B27" s="74">
        <v>23</v>
      </c>
      <c r="C27" s="127">
        <f>DATE(Jaartal,August!$B$3,August!$B27)</f>
        <v>44066</v>
      </c>
      <c r="D27" s="104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6"/>
      <c r="AI27" s="104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6"/>
      <c r="BN27" s="104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6"/>
      <c r="CS27" s="104"/>
      <c r="CT27" s="105"/>
      <c r="CU27" s="105"/>
      <c r="CV27" s="105"/>
      <c r="CW27" s="105"/>
      <c r="CX27" s="105"/>
      <c r="CY27" s="105"/>
      <c r="CZ27" s="105"/>
      <c r="DA27" s="105"/>
      <c r="DB27" s="105"/>
      <c r="DC27" s="105"/>
      <c r="DD27" s="105"/>
      <c r="DE27" s="105"/>
      <c r="DF27" s="105"/>
      <c r="DG27" s="105"/>
      <c r="DH27" s="105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U27" s="107"/>
      <c r="DV27" s="107"/>
      <c r="DW27" s="106"/>
      <c r="DX27" s="128"/>
      <c r="DY27" s="128"/>
      <c r="DZ27" s="128"/>
      <c r="EA27" s="128"/>
      <c r="EB27" s="128"/>
      <c r="EC27" s="128"/>
      <c r="ED27" s="128"/>
      <c r="EE27" s="128"/>
      <c r="EF27" s="128"/>
      <c r="EG27" s="128"/>
      <c r="EH27" s="128"/>
      <c r="EI27" s="128"/>
      <c r="EJ27" s="128"/>
      <c r="EK27" s="128"/>
    </row>
    <row r="28" spans="1:141" x14ac:dyDescent="0.4">
      <c r="A28" s="74">
        <f t="shared" si="0"/>
        <v>2</v>
      </c>
      <c r="B28" s="74">
        <v>24</v>
      </c>
      <c r="C28" s="127">
        <f>DATE(Jaartal,August!$B$3,August!$B28)</f>
        <v>44067</v>
      </c>
      <c r="D28" s="104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6"/>
      <c r="AI28" s="104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6"/>
      <c r="BN28" s="104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6"/>
      <c r="CS28" s="104"/>
      <c r="CT28" s="105"/>
      <c r="CU28" s="105"/>
      <c r="CV28" s="105"/>
      <c r="CW28" s="105"/>
      <c r="CX28" s="105"/>
      <c r="CY28" s="105"/>
      <c r="CZ28" s="105"/>
      <c r="DA28" s="105"/>
      <c r="DB28" s="105"/>
      <c r="DC28" s="105"/>
      <c r="DD28" s="105"/>
      <c r="DE28" s="105"/>
      <c r="DF28" s="105"/>
      <c r="DG28" s="105"/>
      <c r="DH28" s="105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6"/>
      <c r="DX28" s="128"/>
      <c r="DY28" s="128"/>
      <c r="DZ28" s="128"/>
      <c r="EA28" s="128"/>
      <c r="EB28" s="128"/>
      <c r="EC28" s="128"/>
      <c r="ED28" s="128"/>
      <c r="EE28" s="128"/>
      <c r="EF28" s="128"/>
      <c r="EG28" s="128"/>
      <c r="EH28" s="128"/>
      <c r="EI28" s="128"/>
      <c r="EJ28" s="128"/>
      <c r="EK28" s="128"/>
    </row>
    <row r="29" spans="1:141" x14ac:dyDescent="0.4">
      <c r="A29" s="74">
        <f t="shared" si="0"/>
        <v>3</v>
      </c>
      <c r="B29" s="74">
        <v>25</v>
      </c>
      <c r="C29" s="127">
        <f>DATE(Jaartal,August!$B$3,August!$B29)</f>
        <v>44068</v>
      </c>
      <c r="D29" s="104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6"/>
      <c r="AI29" s="104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6"/>
      <c r="BN29" s="104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6"/>
      <c r="CS29" s="104"/>
      <c r="CT29" s="105"/>
      <c r="CU29" s="105"/>
      <c r="CV29" s="105"/>
      <c r="CW29" s="105"/>
      <c r="CX29" s="105"/>
      <c r="CY29" s="105"/>
      <c r="CZ29" s="105"/>
      <c r="DA29" s="105"/>
      <c r="DB29" s="105"/>
      <c r="DC29" s="105"/>
      <c r="DD29" s="105"/>
      <c r="DE29" s="105"/>
      <c r="DF29" s="105"/>
      <c r="DG29" s="105"/>
      <c r="DH29" s="105"/>
      <c r="DI29" s="107"/>
      <c r="DJ29" s="107"/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U29" s="107"/>
      <c r="DV29" s="107"/>
      <c r="DW29" s="106"/>
      <c r="DX29" s="128"/>
      <c r="DY29" s="128"/>
      <c r="DZ29" s="128"/>
      <c r="EA29" s="128"/>
      <c r="EB29" s="128"/>
      <c r="EC29" s="128"/>
      <c r="ED29" s="128"/>
      <c r="EE29" s="128"/>
      <c r="EF29" s="128"/>
      <c r="EG29" s="128"/>
      <c r="EH29" s="128"/>
      <c r="EI29" s="128"/>
      <c r="EJ29" s="128"/>
      <c r="EK29" s="128"/>
    </row>
    <row r="30" spans="1:141" x14ac:dyDescent="0.4">
      <c r="A30" s="74">
        <f t="shared" si="0"/>
        <v>4</v>
      </c>
      <c r="B30" s="74">
        <v>26</v>
      </c>
      <c r="C30" s="127">
        <f>DATE(Jaartal,August!$B$3,August!$B30)</f>
        <v>44069</v>
      </c>
      <c r="D30" s="104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6"/>
      <c r="AI30" s="104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6"/>
      <c r="BN30" s="104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6"/>
      <c r="CS30" s="104"/>
      <c r="CT30" s="105"/>
      <c r="CU30" s="105"/>
      <c r="CV30" s="105"/>
      <c r="CW30" s="105"/>
      <c r="CX30" s="105"/>
      <c r="CY30" s="105"/>
      <c r="CZ30" s="105"/>
      <c r="DA30" s="105"/>
      <c r="DB30" s="105"/>
      <c r="DC30" s="105"/>
      <c r="DD30" s="105"/>
      <c r="DE30" s="105"/>
      <c r="DF30" s="105"/>
      <c r="DG30" s="105"/>
      <c r="DH30" s="105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U30" s="107"/>
      <c r="DV30" s="107"/>
      <c r="DW30" s="106"/>
      <c r="DX30" s="128"/>
      <c r="DY30" s="128"/>
      <c r="DZ30" s="128"/>
      <c r="EA30" s="128"/>
      <c r="EB30" s="128"/>
      <c r="EC30" s="128"/>
      <c r="ED30" s="128"/>
      <c r="EE30" s="128"/>
      <c r="EF30" s="128"/>
      <c r="EG30" s="128"/>
      <c r="EH30" s="128"/>
      <c r="EI30" s="128"/>
      <c r="EJ30" s="128"/>
      <c r="EK30" s="128"/>
    </row>
    <row r="31" spans="1:141" x14ac:dyDescent="0.4">
      <c r="A31" s="74">
        <f t="shared" si="0"/>
        <v>5</v>
      </c>
      <c r="B31" s="74">
        <v>27</v>
      </c>
      <c r="C31" s="127">
        <f>DATE(Jaartal,August!$B$3,August!$B31)</f>
        <v>44070</v>
      </c>
      <c r="D31" s="104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6"/>
      <c r="AI31" s="104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6"/>
      <c r="BN31" s="104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6"/>
      <c r="CS31" s="104"/>
      <c r="CT31" s="105"/>
      <c r="CU31" s="105"/>
      <c r="CV31" s="105"/>
      <c r="CW31" s="105"/>
      <c r="CX31" s="105"/>
      <c r="CY31" s="105"/>
      <c r="CZ31" s="105"/>
      <c r="DA31" s="105"/>
      <c r="DB31" s="105"/>
      <c r="DC31" s="105"/>
      <c r="DD31" s="105"/>
      <c r="DE31" s="105"/>
      <c r="DF31" s="105"/>
      <c r="DG31" s="105"/>
      <c r="DH31" s="105"/>
      <c r="DI31" s="107"/>
      <c r="DJ31" s="107"/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U31" s="107"/>
      <c r="DV31" s="107"/>
      <c r="DW31" s="106"/>
      <c r="DX31" s="128"/>
      <c r="DY31" s="128"/>
      <c r="DZ31" s="128"/>
      <c r="EA31" s="128"/>
      <c r="EB31" s="128"/>
      <c r="EC31" s="128"/>
      <c r="ED31" s="128"/>
      <c r="EE31" s="128"/>
      <c r="EF31" s="128"/>
      <c r="EG31" s="128"/>
      <c r="EH31" s="128"/>
      <c r="EI31" s="128"/>
      <c r="EJ31" s="128"/>
      <c r="EK31" s="128"/>
    </row>
    <row r="32" spans="1:141" x14ac:dyDescent="0.4">
      <c r="A32" s="74">
        <f t="shared" si="0"/>
        <v>6</v>
      </c>
      <c r="B32" s="74">
        <v>28</v>
      </c>
      <c r="C32" s="127">
        <f>DATE(Jaartal,August!$B$3,August!$B32)</f>
        <v>44071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6"/>
      <c r="AI32" s="104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6"/>
      <c r="BN32" s="104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6"/>
      <c r="CS32" s="104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6"/>
      <c r="DX32" s="128"/>
      <c r="DY32" s="128"/>
      <c r="DZ32" s="128"/>
      <c r="EA32" s="128"/>
      <c r="EB32" s="128"/>
      <c r="EC32" s="128"/>
      <c r="ED32" s="128"/>
      <c r="EE32" s="128"/>
      <c r="EF32" s="128"/>
      <c r="EG32" s="128"/>
      <c r="EH32" s="128"/>
      <c r="EI32" s="128"/>
      <c r="EJ32" s="128"/>
      <c r="EK32" s="128"/>
    </row>
    <row r="33" spans="1:141" x14ac:dyDescent="0.4">
      <c r="A33" s="74">
        <f t="shared" si="0"/>
        <v>7</v>
      </c>
      <c r="B33" s="74">
        <v>29</v>
      </c>
      <c r="C33" s="127">
        <f>DATE(Jaartal,August!$B$3,August!$B33)</f>
        <v>44072</v>
      </c>
      <c r="D33" s="104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6"/>
      <c r="AI33" s="104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6"/>
      <c r="BN33" s="104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6"/>
      <c r="CS33" s="104"/>
      <c r="CT33" s="105"/>
      <c r="CU33" s="105"/>
      <c r="CV33" s="105"/>
      <c r="CW33" s="105"/>
      <c r="CX33" s="105"/>
      <c r="CY33" s="105"/>
      <c r="CZ33" s="105"/>
      <c r="DA33" s="105"/>
      <c r="DB33" s="105"/>
      <c r="DC33" s="105"/>
      <c r="DD33" s="105"/>
      <c r="DE33" s="105"/>
      <c r="DF33" s="105"/>
      <c r="DG33" s="105"/>
      <c r="DH33" s="105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6"/>
      <c r="DX33" s="128"/>
      <c r="DY33" s="128"/>
      <c r="DZ33" s="128"/>
      <c r="EA33" s="128"/>
      <c r="EB33" s="128"/>
      <c r="EC33" s="128"/>
      <c r="ED33" s="128"/>
      <c r="EE33" s="128"/>
      <c r="EF33" s="128"/>
      <c r="EG33" s="128"/>
      <c r="EH33" s="128"/>
      <c r="EI33" s="128"/>
      <c r="EJ33" s="128"/>
      <c r="EK33" s="128"/>
    </row>
    <row r="34" spans="1:141" x14ac:dyDescent="0.4">
      <c r="A34" s="74">
        <f t="shared" si="0"/>
        <v>1</v>
      </c>
      <c r="B34" s="74">
        <v>30</v>
      </c>
      <c r="C34" s="127">
        <f>DATE(Jaartal,August!$B$3,August!$B34)</f>
        <v>44073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6"/>
      <c r="AI34" s="104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6"/>
      <c r="BN34" s="104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6"/>
      <c r="CS34" s="104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5"/>
      <c r="DH34" s="105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6"/>
      <c r="DX34" s="128"/>
      <c r="DY34" s="128"/>
      <c r="DZ34" s="128"/>
      <c r="EA34" s="128"/>
      <c r="EB34" s="128"/>
      <c r="EC34" s="128"/>
      <c r="ED34" s="128"/>
      <c r="EE34" s="128"/>
      <c r="EF34" s="128"/>
      <c r="EG34" s="128"/>
      <c r="EH34" s="128"/>
      <c r="EI34" s="128"/>
      <c r="EJ34" s="128"/>
      <c r="EK34" s="128"/>
    </row>
    <row r="35" spans="1:141" x14ac:dyDescent="0.4">
      <c r="A35" s="74">
        <f t="shared" si="0"/>
        <v>2</v>
      </c>
      <c r="B35" s="74">
        <v>31</v>
      </c>
      <c r="C35" s="127">
        <f>DATE(Jaartal,August!$B$3,August!$B35)</f>
        <v>44074</v>
      </c>
      <c r="D35" s="104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6"/>
      <c r="AI35" s="104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6"/>
      <c r="BN35" s="104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6"/>
      <c r="CS35" s="108"/>
      <c r="CT35" s="105"/>
      <c r="CU35" s="105"/>
      <c r="CV35" s="105"/>
      <c r="CW35" s="105"/>
      <c r="CX35" s="105"/>
      <c r="CY35" s="105"/>
      <c r="CZ35" s="105"/>
      <c r="DA35" s="105"/>
      <c r="DB35" s="105"/>
      <c r="DC35" s="105"/>
      <c r="DD35" s="105"/>
      <c r="DE35" s="105"/>
      <c r="DF35" s="105"/>
      <c r="DG35" s="105"/>
      <c r="DH35" s="105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6"/>
      <c r="DX35" s="128"/>
      <c r="DY35" s="128"/>
      <c r="DZ35" s="128"/>
      <c r="EA35" s="128"/>
      <c r="EB35" s="128"/>
      <c r="EC35" s="128"/>
      <c r="ED35" s="128"/>
      <c r="EE35" s="128"/>
      <c r="EF35" s="128"/>
      <c r="EG35" s="128"/>
      <c r="EH35" s="128"/>
      <c r="EI35" s="128"/>
      <c r="EJ35" s="128"/>
      <c r="EK35" s="128"/>
    </row>
    <row r="36" spans="1:141" x14ac:dyDescent="0.4">
      <c r="BR36" s="128"/>
      <c r="BS36" s="128"/>
      <c r="BT36" s="128"/>
      <c r="BU36" s="128"/>
      <c r="BV36" s="128"/>
      <c r="BY36" s="128"/>
      <c r="BZ36" s="128"/>
      <c r="CB36" s="128"/>
      <c r="CC36" s="128"/>
      <c r="CD36" s="128"/>
      <c r="CE36" s="128"/>
      <c r="CF36" s="128"/>
      <c r="CG36" s="128"/>
      <c r="CH36" s="128"/>
      <c r="CI36" s="128"/>
      <c r="CJ36" s="128"/>
      <c r="CK36" s="128"/>
      <c r="CL36" s="128"/>
      <c r="CM36" s="128"/>
      <c r="CN36" s="128"/>
      <c r="CO36" s="128"/>
      <c r="CP36" s="128"/>
      <c r="CQ36" s="128"/>
      <c r="CW36" s="128"/>
      <c r="CX36" s="128"/>
      <c r="CY36" s="128"/>
      <c r="CZ36" s="128"/>
      <c r="DA36" s="128"/>
      <c r="DD36" s="128"/>
      <c r="DE36" s="128"/>
      <c r="DG36" s="128"/>
      <c r="DH36" s="128"/>
      <c r="DI36" s="128"/>
      <c r="DJ36" s="128"/>
      <c r="DK36" s="128"/>
      <c r="DL36" s="128"/>
      <c r="DM36" s="128"/>
      <c r="DN36" s="128"/>
      <c r="DO36" s="128"/>
      <c r="DP36" s="128"/>
      <c r="DQ36" s="128"/>
      <c r="DR36" s="128"/>
      <c r="DS36" s="128"/>
      <c r="DT36" s="128"/>
      <c r="DU36" s="128"/>
      <c r="DV36" s="128"/>
    </row>
    <row r="38" spans="1:141" ht="13.5" thickBot="1" x14ac:dyDescent="0.45"/>
    <row r="39" spans="1:141" ht="13.5" thickBot="1" x14ac:dyDescent="0.45">
      <c r="D39" s="109" t="s">
        <v>7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1"/>
    </row>
    <row r="40" spans="1:141" ht="13.5" thickBot="1" x14ac:dyDescent="0.45">
      <c r="D40" s="112">
        <v>1</v>
      </c>
      <c r="E40" s="113" t="s">
        <v>4</v>
      </c>
      <c r="F40" s="113"/>
      <c r="G40" s="113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5"/>
    </row>
    <row r="41" spans="1:141" ht="13.5" thickBot="1" x14ac:dyDescent="0.45">
      <c r="D41" s="116">
        <v>2</v>
      </c>
      <c r="E41" s="117" t="s">
        <v>79</v>
      </c>
      <c r="F41" s="117"/>
      <c r="G41" s="117"/>
      <c r="H41" s="117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9"/>
    </row>
    <row r="42" spans="1:141" ht="13.5" thickBot="1" x14ac:dyDescent="0.45">
      <c r="D42" s="120">
        <v>3</v>
      </c>
      <c r="E42" s="117" t="s">
        <v>66</v>
      </c>
      <c r="F42" s="117"/>
      <c r="G42" s="117"/>
      <c r="H42" s="117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9"/>
    </row>
    <row r="43" spans="1:141" ht="13.5" thickBot="1" x14ac:dyDescent="0.45">
      <c r="D43" s="121"/>
      <c r="E43" s="122" t="s">
        <v>80</v>
      </c>
      <c r="F43" s="122"/>
      <c r="G43" s="122"/>
      <c r="H43" s="12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4"/>
    </row>
    <row r="44" spans="1:141" x14ac:dyDescent="0.4">
      <c r="D44" s="129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1"/>
      <c r="AI44" s="131"/>
      <c r="AR44" s="130"/>
      <c r="AS44" s="130"/>
      <c r="AV44" s="130"/>
      <c r="BW44" s="130"/>
      <c r="BX44" s="130"/>
      <c r="CA44" s="130"/>
      <c r="DB44" s="130"/>
      <c r="DC44" s="130"/>
      <c r="DF44" s="130"/>
    </row>
    <row r="52" spans="33:34" x14ac:dyDescent="0.4">
      <c r="AG52" s="128"/>
      <c r="AH52" s="128"/>
    </row>
    <row r="53" spans="33:34" x14ac:dyDescent="0.4">
      <c r="AG53" s="128"/>
      <c r="AH53" s="128"/>
    </row>
    <row r="54" spans="33:34" x14ac:dyDescent="0.4">
      <c r="AG54" s="128"/>
      <c r="AH54" s="128"/>
    </row>
    <row r="55" spans="33:34" x14ac:dyDescent="0.4">
      <c r="AG55" s="128"/>
      <c r="AH55" s="128"/>
    </row>
    <row r="56" spans="33:34" x14ac:dyDescent="0.4">
      <c r="AG56" s="128"/>
      <c r="AH56" s="128"/>
    </row>
  </sheetData>
  <sheetProtection sheet="1" objects="1" scenarios="1" selectLockedCells="1"/>
  <mergeCells count="13">
    <mergeCell ref="D39:AI39"/>
    <mergeCell ref="E40:AI40"/>
    <mergeCell ref="E41:AI41"/>
    <mergeCell ref="E42:AI42"/>
    <mergeCell ref="E43:AI43"/>
    <mergeCell ref="D1:AH1"/>
    <mergeCell ref="AI1:BM1"/>
    <mergeCell ref="BN1:CR1"/>
    <mergeCell ref="CS1:DW1"/>
    <mergeCell ref="AH3:AH4"/>
    <mergeCell ref="BM3:BM4"/>
    <mergeCell ref="CR3:CR4"/>
    <mergeCell ref="DW3:DW4"/>
  </mergeCells>
  <conditionalFormatting sqref="D5:L35 O5:P35 AT5:AU35 BY5:BZ35 DD5:DE35 R5:AQ35 AW5:BV35 CB5:DA35 DG5:DW35">
    <cfRule type="expression" dxfId="211" priority="33" stopIfTrue="1">
      <formula>D5=3</formula>
    </cfRule>
    <cfRule type="expression" dxfId="210" priority="34" stopIfTrue="1">
      <formula>D5=2</formula>
    </cfRule>
    <cfRule type="expression" dxfId="209" priority="35" stopIfTrue="1">
      <formula>D5=1</formula>
    </cfRule>
    <cfRule type="expression" dxfId="208" priority="36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207" priority="29" stopIfTrue="1">
      <formula>M5=3</formula>
    </cfRule>
    <cfRule type="expression" dxfId="206" priority="30" stopIfTrue="1">
      <formula>M5=2</formula>
    </cfRule>
    <cfRule type="expression" dxfId="205" priority="31" stopIfTrue="1">
      <formula>M5=1</formula>
    </cfRule>
    <cfRule type="expression" dxfId="204" priority="32" stopIfTrue="1">
      <formula>IF($A5=1,1,IF($A5=7,1,IF(M$2="Q",IF($A5=2,IF($B5&lt;8,IF(MOD($B$3,3)&lt;&gt;0,1,0),1),1),IF(M$2="M",IF($A5=2,IF($B5&gt;7,1,0),1),IF(M$2="W",IF($A5=2,0,1),0)))))</formula>
    </cfRule>
  </conditionalFormatting>
  <conditionalFormatting sqref="AR5:AS35">
    <cfRule type="expression" dxfId="203" priority="25" stopIfTrue="1">
      <formula>AR5=3</formula>
    </cfRule>
    <cfRule type="expression" dxfId="202" priority="26" stopIfTrue="1">
      <formula>AR5=2</formula>
    </cfRule>
    <cfRule type="expression" dxfId="201" priority="27" stopIfTrue="1">
      <formula>AR5=1</formula>
    </cfRule>
    <cfRule type="expression" dxfId="200" priority="28" stopIfTrue="1">
      <formula>IF($A5=1,1,IF($A5=7,1,IF(AR$2="Q",IF($A5=2,IF($B5&lt;8,IF(MOD($B$3,3)&lt;&gt;0,1,0),1),1),IF(AR$2="M",IF($A5=2,IF($B5&gt;7,1,0),1),IF(AR$2="W",IF($A5=2,0,1),0)))))</formula>
    </cfRule>
  </conditionalFormatting>
  <conditionalFormatting sqref="BW5:BX35">
    <cfRule type="expression" dxfId="199" priority="21" stopIfTrue="1">
      <formula>BW5=3</formula>
    </cfRule>
    <cfRule type="expression" dxfId="198" priority="22" stopIfTrue="1">
      <formula>BW5=2</formula>
    </cfRule>
    <cfRule type="expression" dxfId="197" priority="23" stopIfTrue="1">
      <formula>BW5=1</formula>
    </cfRule>
    <cfRule type="expression" dxfId="196" priority="24" stopIfTrue="1">
      <formula>IF($A5=1,1,IF($A5=7,1,IF(BW$2="Q",IF($A5=2,IF($B5&lt;8,IF(MOD($B$3,3)&lt;&gt;0,1,0),1),1),IF(BW$2="M",IF($A5=2,IF($B5&gt;7,1,0),1),IF(BW$2="W",IF($A5=2,0,1),0)))))</formula>
    </cfRule>
  </conditionalFormatting>
  <conditionalFormatting sqref="DB5:DC35">
    <cfRule type="expression" dxfId="195" priority="17" stopIfTrue="1">
      <formula>DB5=3</formula>
    </cfRule>
    <cfRule type="expression" dxfId="194" priority="18" stopIfTrue="1">
      <formula>DB5=2</formula>
    </cfRule>
    <cfRule type="expression" dxfId="193" priority="19" stopIfTrue="1">
      <formula>DB5=1</formula>
    </cfRule>
    <cfRule type="expression" dxfId="192" priority="20" stopIfTrue="1">
      <formula>IF($A5=1,1,IF($A5=7,1,IF(DB$2="Q",IF($A5=2,IF($B5&lt;8,IF(MOD($B$3,3)&lt;&gt;0,1,0),1),1),IF(DB$2="M",IF($A5=2,IF($B5&gt;7,1,0),1),IF(DB$2="W",IF($A5=2,0,1),0)))))</formula>
    </cfRule>
  </conditionalFormatting>
  <conditionalFormatting sqref="Q5:Q35">
    <cfRule type="expression" dxfId="191" priority="13" stopIfTrue="1">
      <formula>Q5=3</formula>
    </cfRule>
    <cfRule type="expression" dxfId="190" priority="14" stopIfTrue="1">
      <formula>Q5=2</formula>
    </cfRule>
    <cfRule type="expression" dxfId="189" priority="15" stopIfTrue="1">
      <formula>Q5=1</formula>
    </cfRule>
    <cfRule type="expression" dxfId="188" priority="16" stopIfTrue="1">
      <formula>IF($A5=1,1,IF($A5=7,1,IF(Q$2="Q",IF($A5=2,IF($B5&lt;8,IF(MOD($B$3,3)&lt;&gt;0,1,0),1),1),IF(Q$2="M",IF($A5=2,IF($B5&gt;7,1,0),1),IF(Q$2="W",IF($A5=2,0,1),0)))))</formula>
    </cfRule>
  </conditionalFormatting>
  <conditionalFormatting sqref="AV5:AV35">
    <cfRule type="expression" dxfId="187" priority="9" stopIfTrue="1">
      <formula>AV5=3</formula>
    </cfRule>
    <cfRule type="expression" dxfId="186" priority="10" stopIfTrue="1">
      <formula>AV5=2</formula>
    </cfRule>
    <cfRule type="expression" dxfId="185" priority="11" stopIfTrue="1">
      <formula>AV5=1</formula>
    </cfRule>
    <cfRule type="expression" dxfId="184" priority="12" stopIfTrue="1">
      <formula>IF($A5=1,1,IF($A5=7,1,IF(AV$2="Q",IF($A5=2,IF($B5&lt;8,IF(MOD($B$3,3)&lt;&gt;0,1,0),1),1),IF(AV$2="M",IF($A5=2,IF($B5&gt;7,1,0),1),IF(AV$2="W",IF($A5=2,0,1),0)))))</formula>
    </cfRule>
  </conditionalFormatting>
  <conditionalFormatting sqref="CA5:CA35">
    <cfRule type="expression" dxfId="183" priority="5" stopIfTrue="1">
      <formula>CA5=3</formula>
    </cfRule>
    <cfRule type="expression" dxfId="182" priority="6" stopIfTrue="1">
      <formula>CA5=2</formula>
    </cfRule>
    <cfRule type="expression" dxfId="181" priority="7" stopIfTrue="1">
      <formula>CA5=1</formula>
    </cfRule>
    <cfRule type="expression" dxfId="180" priority="8" stopIfTrue="1">
      <formula>IF($A5=1,1,IF($A5=7,1,IF(CA$2="Q",IF($A5=2,IF($B5&lt;8,IF(MOD($B$3,3)&lt;&gt;0,1,0),1),1),IF(CA$2="M",IF($A5=2,IF($B5&gt;7,1,0),1),IF(CA$2="W",IF($A5=2,0,1),0)))))</formula>
    </cfRule>
  </conditionalFormatting>
  <conditionalFormatting sqref="DF5:DF35">
    <cfRule type="expression" dxfId="179" priority="1" stopIfTrue="1">
      <formula>DF5=3</formula>
    </cfRule>
    <cfRule type="expression" dxfId="178" priority="2" stopIfTrue="1">
      <formula>DF5=2</formula>
    </cfRule>
    <cfRule type="expression" dxfId="177" priority="3" stopIfTrue="1">
      <formula>DF5=1</formula>
    </cfRule>
    <cfRule type="expression" dxfId="176" priority="4" stopIfTrue="1">
      <formula>IF($A5=1,1,IF($A5=7,1,IF(DF$2="Q",IF($A5=2,IF($B5&lt;8,IF(MOD($B$3,3)&lt;&gt;0,1,0),1),1),IF(DF$2="M",IF($A5=2,IF($B5&gt;7,1,0),1),IF(DF$2="W",IF($A5=2,0,1),0)))))</formula>
    </cfRule>
  </conditionalFormatting>
  <dataValidations count="4">
    <dataValidation type="list" allowBlank="1" showInputMessage="1" showErrorMessage="1" sqref="BN5:CQ35 D5:AG35 AI5:BL35 CS5:DV35" xr:uid="{A0C4F018-2F4C-4AF6-A706-1C94873948B6}">
      <formula1>Status</formula1>
    </dataValidation>
    <dataValidation type="list" allowBlank="1" showInputMessage="1" showErrorMessage="1" sqref="C3" xr:uid="{26113E02-AD97-45B1-BBF7-36BEBE1A3EAF}">
      <formula1>List_Maanden</formula1>
    </dataValidation>
    <dataValidation type="list" allowBlank="1" showInputMessage="1" showErrorMessage="1" sqref="DW5:DW35 CR5:CR35 BM5:BM35 AH5:AH35" xr:uid="{D9CBA4AE-B547-4550-A783-E569B98FE0CC}">
      <formula1>List_Personen</formula1>
    </dataValidation>
    <dataValidation type="list" allowBlank="1" showInputMessage="1" showErrorMessage="1" sqref="DB2:DC2 AR2:AS2 BW2:BX2 D2:AG2 AV2 CA2 DF2" xr:uid="{293305BA-C2EB-4C0F-84F7-B845C37CF347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32DFD-5AC0-4D35-89CD-D8EFCB1B3455}">
  <sheetPr codeName="Sheet11"/>
  <dimension ref="A1:EK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3.15" x14ac:dyDescent="0.4"/>
  <cols>
    <col min="1" max="1" width="8.796875" style="74" hidden="1" customWidth="1"/>
    <col min="2" max="2" width="4.265625" style="74" hidden="1" customWidth="1"/>
    <col min="3" max="3" width="27.1328125" style="74" bestFit="1" customWidth="1"/>
    <col min="4" max="5" width="3.19921875" style="74" bestFit="1" customWidth="1"/>
    <col min="6" max="8" width="3.19921875" style="74" customWidth="1"/>
    <col min="9" max="10" width="3.19921875" style="74" bestFit="1" customWidth="1"/>
    <col min="11" max="18" width="3.19921875" style="74" customWidth="1"/>
    <col min="19" max="19" width="3.19921875" style="74" bestFit="1" customWidth="1"/>
    <col min="20" max="24" width="3.19921875" style="74" customWidth="1"/>
    <col min="25" max="25" width="3.19921875" style="74" bestFit="1" customWidth="1"/>
    <col min="26" max="32" width="3.19921875" style="74" customWidth="1"/>
    <col min="33" max="33" width="2.73046875" style="74" bestFit="1" customWidth="1"/>
    <col min="34" max="34" width="14" style="74" bestFit="1" customWidth="1"/>
    <col min="35" max="39" width="3.19921875" style="74" bestFit="1" customWidth="1"/>
    <col min="40" max="46" width="3.19921875" style="74" customWidth="1"/>
    <col min="47" max="47" width="3.19921875" style="74" bestFit="1" customWidth="1"/>
    <col min="48" max="48" width="3.19921875" style="74" customWidth="1"/>
    <col min="49" max="49" width="3.19921875" style="74" bestFit="1" customWidth="1"/>
    <col min="50" max="50" width="2.73046875" style="74" bestFit="1" customWidth="1"/>
    <col min="51" max="64" width="2.73046875" style="74" customWidth="1"/>
    <col min="65" max="65" width="14" style="74" bestFit="1" customWidth="1"/>
    <col min="66" max="70" width="3.19921875" style="74" bestFit="1" customWidth="1"/>
    <col min="71" max="77" width="3.19921875" style="74" customWidth="1"/>
    <col min="78" max="78" width="3.19921875" style="74" bestFit="1" customWidth="1"/>
    <col min="79" max="79" width="3.19921875" style="74" customWidth="1"/>
    <col min="80" max="80" width="3.19921875" style="74" bestFit="1" customWidth="1"/>
    <col min="81" max="81" width="2.73046875" style="74" bestFit="1" customWidth="1"/>
    <col min="82" max="95" width="2.73046875" style="74" customWidth="1"/>
    <col min="96" max="96" width="14" style="74" bestFit="1" customWidth="1"/>
    <col min="97" max="102" width="3.19921875" style="74" bestFit="1" customWidth="1"/>
    <col min="103" max="110" width="3.19921875" style="74" customWidth="1"/>
    <col min="111" max="111" width="3.19921875" style="74" bestFit="1" customWidth="1"/>
    <col min="112" max="112" width="2.73046875" style="74" bestFit="1" customWidth="1"/>
    <col min="113" max="126" width="2.73046875" style="74" customWidth="1"/>
    <col min="127" max="127" width="14" style="74" bestFit="1" customWidth="1"/>
    <col min="128" max="128" width="6" style="74" customWidth="1"/>
    <col min="129" max="16384" width="9.06640625" style="74"/>
  </cols>
  <sheetData>
    <row r="1" spans="1:141" ht="18.399999999999999" thickBot="1" x14ac:dyDescent="0.6">
      <c r="C1" s="75" t="s">
        <v>5</v>
      </c>
      <c r="D1" s="76" t="s">
        <v>44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8"/>
      <c r="AI1" s="79" t="s">
        <v>45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1"/>
      <c r="BN1" s="82" t="s">
        <v>46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4"/>
      <c r="CS1" s="85" t="s">
        <v>47</v>
      </c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7"/>
    </row>
    <row r="2" spans="1:141" ht="13.5" thickBot="1" x14ac:dyDescent="0.45">
      <c r="A2" s="74" t="s">
        <v>13</v>
      </c>
      <c r="B2" s="74" t="s">
        <v>14</v>
      </c>
      <c r="C2" s="88" t="s">
        <v>3</v>
      </c>
      <c r="D2" s="89" t="str">
        <f>+Template!D2</f>
        <v>D</v>
      </c>
      <c r="E2" s="90" t="str">
        <f>+Template!E2</f>
        <v>D</v>
      </c>
      <c r="F2" s="90" t="str">
        <f>+Template!F2</f>
        <v>D</v>
      </c>
      <c r="G2" s="90" t="str">
        <f>+Template!G2</f>
        <v>D</v>
      </c>
      <c r="H2" s="90" t="str">
        <f>+Template!H2</f>
        <v>D</v>
      </c>
      <c r="I2" s="91" t="str">
        <f>+Template!I2</f>
        <v>D</v>
      </c>
      <c r="J2" s="91" t="str">
        <f>+Template!J2</f>
        <v>D</v>
      </c>
      <c r="K2" s="91" t="str">
        <f>+Template!K2</f>
        <v>D</v>
      </c>
      <c r="L2" s="91" t="str">
        <f>+Template!L2</f>
        <v>D</v>
      </c>
      <c r="M2" s="91" t="s">
        <v>2</v>
      </c>
      <c r="N2" s="91" t="s">
        <v>2</v>
      </c>
      <c r="O2" s="91" t="str">
        <f>+Template!O2</f>
        <v>D</v>
      </c>
      <c r="P2" s="91" t="str">
        <f>+Template!P2</f>
        <v>D</v>
      </c>
      <c r="Q2" s="91" t="s">
        <v>2</v>
      </c>
      <c r="R2" s="91" t="str">
        <f>+Template!R2</f>
        <v>D</v>
      </c>
      <c r="S2" s="91" t="str">
        <f>+Template!S2</f>
        <v>D</v>
      </c>
      <c r="T2" s="91" t="str">
        <f>+Template!T2</f>
        <v>D</v>
      </c>
      <c r="U2" s="91" t="str">
        <f>+Template!U2</f>
        <v>D</v>
      </c>
      <c r="V2" s="91" t="str">
        <f>+Template!V2</f>
        <v>D</v>
      </c>
      <c r="W2" s="91" t="str">
        <f>+Template!W2</f>
        <v>D</v>
      </c>
      <c r="X2" s="91" t="str">
        <f>+Template!X2</f>
        <v>W</v>
      </c>
      <c r="Y2" s="91" t="str">
        <f>+Template!Y2</f>
        <v>W</v>
      </c>
      <c r="Z2" s="91" t="str">
        <f>+Template!Z2</f>
        <v>W</v>
      </c>
      <c r="AA2" s="91" t="str">
        <f>+Template!AA2</f>
        <v>W</v>
      </c>
      <c r="AB2" s="91" t="str">
        <f>+Template!AB2</f>
        <v>M</v>
      </c>
      <c r="AC2" s="91" t="str">
        <f>+Template!AC2</f>
        <v>M</v>
      </c>
      <c r="AD2" s="91" t="str">
        <f>+Template!AD2</f>
        <v>M</v>
      </c>
      <c r="AE2" s="91" t="str">
        <f>+Template!AE2</f>
        <v>M</v>
      </c>
      <c r="AF2" s="91" t="str">
        <f>+Template!AF2</f>
        <v>Q</v>
      </c>
      <c r="AG2" s="91" t="str">
        <f>+Template!AG2</f>
        <v>Q</v>
      </c>
      <c r="AH2" s="92"/>
      <c r="AI2" s="89" t="str">
        <f>+Template!D2</f>
        <v>D</v>
      </c>
      <c r="AJ2" s="90" t="str">
        <f>+Template!E2</f>
        <v>D</v>
      </c>
      <c r="AK2" s="90" t="str">
        <f>+Template!F2</f>
        <v>D</v>
      </c>
      <c r="AL2" s="90" t="str">
        <f>+Template!G2</f>
        <v>D</v>
      </c>
      <c r="AM2" s="90" t="str">
        <f>+Template!H2</f>
        <v>D</v>
      </c>
      <c r="AN2" s="90" t="str">
        <f>+Template!I2</f>
        <v>D</v>
      </c>
      <c r="AO2" s="90" t="str">
        <f>+Template!J2</f>
        <v>D</v>
      </c>
      <c r="AP2" s="90" t="str">
        <f>+Template!K2</f>
        <v>D</v>
      </c>
      <c r="AQ2" s="90" t="str">
        <f>+Template!L2</f>
        <v>D</v>
      </c>
      <c r="AR2" s="91" t="s">
        <v>2</v>
      </c>
      <c r="AS2" s="91" t="s">
        <v>2</v>
      </c>
      <c r="AT2" s="90" t="str">
        <f>+Template!O2</f>
        <v>D</v>
      </c>
      <c r="AU2" s="91" t="str">
        <f>+Template!P2</f>
        <v>D</v>
      </c>
      <c r="AV2" s="91" t="s">
        <v>2</v>
      </c>
      <c r="AW2" s="91" t="str">
        <f>+Template!R2</f>
        <v>D</v>
      </c>
      <c r="AX2" s="91" t="str">
        <f>+Template!S2</f>
        <v>D</v>
      </c>
      <c r="AY2" s="91" t="str">
        <f>+Template!T2</f>
        <v>D</v>
      </c>
      <c r="AZ2" s="91" t="str">
        <f>+Template!U2</f>
        <v>D</v>
      </c>
      <c r="BA2" s="91" t="str">
        <f>+Template!V2</f>
        <v>D</v>
      </c>
      <c r="BB2" s="91" t="str">
        <f>+Template!W2</f>
        <v>D</v>
      </c>
      <c r="BC2" s="91" t="str">
        <f>+Template!X2</f>
        <v>W</v>
      </c>
      <c r="BD2" s="91" t="str">
        <f>+Template!Y2</f>
        <v>W</v>
      </c>
      <c r="BE2" s="91" t="str">
        <f>+Template!Z2</f>
        <v>W</v>
      </c>
      <c r="BF2" s="91" t="str">
        <f>+Template!AA2</f>
        <v>W</v>
      </c>
      <c r="BG2" s="91" t="str">
        <f>+Template!AB2</f>
        <v>M</v>
      </c>
      <c r="BH2" s="91" t="str">
        <f>+Template!AC2</f>
        <v>M</v>
      </c>
      <c r="BI2" s="91" t="str">
        <f>+Template!AD2</f>
        <v>M</v>
      </c>
      <c r="BJ2" s="91" t="str">
        <f>+Template!AE2</f>
        <v>M</v>
      </c>
      <c r="BK2" s="91" t="str">
        <f>+Template!AF2</f>
        <v>Q</v>
      </c>
      <c r="BL2" s="91" t="str">
        <f>+Template!AG2</f>
        <v>Q</v>
      </c>
      <c r="BM2" s="92"/>
      <c r="BN2" s="89" t="str">
        <f>+Template!D2</f>
        <v>D</v>
      </c>
      <c r="BO2" s="90" t="str">
        <f>+Template!E2</f>
        <v>D</v>
      </c>
      <c r="BP2" s="90" t="str">
        <f>+Template!F2</f>
        <v>D</v>
      </c>
      <c r="BQ2" s="90" t="str">
        <f>+Template!G2</f>
        <v>D</v>
      </c>
      <c r="BR2" s="90" t="str">
        <f>+Template!H2</f>
        <v>D</v>
      </c>
      <c r="BS2" s="90" t="str">
        <f>+Template!I2</f>
        <v>D</v>
      </c>
      <c r="BT2" s="90" t="str">
        <f>+Template!J2</f>
        <v>D</v>
      </c>
      <c r="BU2" s="90" t="str">
        <f>+Template!K2</f>
        <v>D</v>
      </c>
      <c r="BV2" s="90" t="str">
        <f>+Template!L2</f>
        <v>D</v>
      </c>
      <c r="BW2" s="91" t="s">
        <v>2</v>
      </c>
      <c r="BX2" s="91" t="s">
        <v>2</v>
      </c>
      <c r="BY2" s="90" t="str">
        <f>+Template!O2</f>
        <v>D</v>
      </c>
      <c r="BZ2" s="91" t="str">
        <f>+Template!P2</f>
        <v>D</v>
      </c>
      <c r="CA2" s="91" t="s">
        <v>2</v>
      </c>
      <c r="CB2" s="91" t="str">
        <f>+Template!R2</f>
        <v>D</v>
      </c>
      <c r="CC2" s="91" t="str">
        <f>+Template!S2</f>
        <v>D</v>
      </c>
      <c r="CD2" s="91" t="str">
        <f>+Template!T2</f>
        <v>D</v>
      </c>
      <c r="CE2" s="91" t="str">
        <f>+Template!U2</f>
        <v>D</v>
      </c>
      <c r="CF2" s="91" t="str">
        <f>+Template!V2</f>
        <v>D</v>
      </c>
      <c r="CG2" s="91" t="str">
        <f>+Template!W2</f>
        <v>D</v>
      </c>
      <c r="CH2" s="91" t="str">
        <f>+Template!X2</f>
        <v>W</v>
      </c>
      <c r="CI2" s="91" t="str">
        <f>+Template!Y2</f>
        <v>W</v>
      </c>
      <c r="CJ2" s="91" t="str">
        <f>+Template!Z2</f>
        <v>W</v>
      </c>
      <c r="CK2" s="91" t="str">
        <f>+Template!AA2</f>
        <v>W</v>
      </c>
      <c r="CL2" s="91" t="str">
        <f>+Template!AB2</f>
        <v>M</v>
      </c>
      <c r="CM2" s="91" t="str">
        <f>+Template!AC2</f>
        <v>M</v>
      </c>
      <c r="CN2" s="91" t="str">
        <f>+Template!AD2</f>
        <v>M</v>
      </c>
      <c r="CO2" s="91" t="str">
        <f>+Template!AE2</f>
        <v>M</v>
      </c>
      <c r="CP2" s="91" t="str">
        <f>+Template!AF2</f>
        <v>Q</v>
      </c>
      <c r="CQ2" s="91" t="str">
        <f>+Template!AG2</f>
        <v>Q</v>
      </c>
      <c r="CR2" s="92"/>
      <c r="CS2" s="89" t="str">
        <f>+Template!D2</f>
        <v>D</v>
      </c>
      <c r="CT2" s="90" t="str">
        <f>+Template!E2</f>
        <v>D</v>
      </c>
      <c r="CU2" s="90" t="str">
        <f>+Template!F2</f>
        <v>D</v>
      </c>
      <c r="CV2" s="90" t="str">
        <f>+Template!G2</f>
        <v>D</v>
      </c>
      <c r="CW2" s="90" t="str">
        <f>+Template!H2</f>
        <v>D</v>
      </c>
      <c r="CX2" s="91" t="str">
        <f>+Template!I2</f>
        <v>D</v>
      </c>
      <c r="CY2" s="91" t="str">
        <f>+Template!J2</f>
        <v>D</v>
      </c>
      <c r="CZ2" s="91" t="str">
        <f>+Template!K2</f>
        <v>D</v>
      </c>
      <c r="DA2" s="91" t="str">
        <f>+Template!L2</f>
        <v>D</v>
      </c>
      <c r="DB2" s="91" t="s">
        <v>2</v>
      </c>
      <c r="DC2" s="91" t="s">
        <v>2</v>
      </c>
      <c r="DD2" s="91" t="str">
        <f>+Template!O2</f>
        <v>D</v>
      </c>
      <c r="DE2" s="91" t="str">
        <f>+Template!P2</f>
        <v>D</v>
      </c>
      <c r="DF2" s="91" t="s">
        <v>2</v>
      </c>
      <c r="DG2" s="91" t="str">
        <f>+Template!R2</f>
        <v>D</v>
      </c>
      <c r="DH2" s="91" t="str">
        <f>+Template!S2</f>
        <v>D</v>
      </c>
      <c r="DI2" s="91" t="str">
        <f>+Template!T2</f>
        <v>D</v>
      </c>
      <c r="DJ2" s="91" t="str">
        <f>+Template!U2</f>
        <v>D</v>
      </c>
      <c r="DK2" s="91" t="str">
        <f>+Template!V2</f>
        <v>D</v>
      </c>
      <c r="DL2" s="91" t="str">
        <f>+Template!W2</f>
        <v>D</v>
      </c>
      <c r="DM2" s="91" t="str">
        <f>+Template!X2</f>
        <v>W</v>
      </c>
      <c r="DN2" s="91" t="str">
        <f>+Template!Y2</f>
        <v>W</v>
      </c>
      <c r="DO2" s="91" t="str">
        <f>+Template!Z2</f>
        <v>W</v>
      </c>
      <c r="DP2" s="91" t="str">
        <f>+Template!AA2</f>
        <v>W</v>
      </c>
      <c r="DQ2" s="91" t="str">
        <f>+Template!AB2</f>
        <v>M</v>
      </c>
      <c r="DR2" s="91" t="str">
        <f>+Template!AC2</f>
        <v>M</v>
      </c>
      <c r="DS2" s="91" t="str">
        <f>+Template!AD2</f>
        <v>M</v>
      </c>
      <c r="DT2" s="91" t="str">
        <f>+Template!AE2</f>
        <v>M</v>
      </c>
      <c r="DU2" s="91" t="str">
        <f>+Template!AF2</f>
        <v>Q</v>
      </c>
      <c r="DV2" s="91" t="str">
        <f>+Template!AG2</f>
        <v>Q</v>
      </c>
      <c r="DW2" s="92"/>
    </row>
    <row r="3" spans="1:141" ht="150" x14ac:dyDescent="0.4">
      <c r="B3" s="74">
        <f>VLOOKUP(C3,Data!E2:F13,2,FALSE)</f>
        <v>9</v>
      </c>
      <c r="C3" s="93" t="s">
        <v>10</v>
      </c>
      <c r="D3" s="94" t="str">
        <f>+Template!D3</f>
        <v>Quick environment check</v>
      </c>
      <c r="E3" s="95" t="str">
        <f>+Template!E3</f>
        <v>Health Analyzer Issues</v>
      </c>
      <c r="F3" s="95" t="str">
        <f>+Template!F3</f>
        <v>Content Database Status</v>
      </c>
      <c r="G3" s="95" t="str">
        <f>+Template!G3</f>
        <v>Upgrade Status Servers</v>
      </c>
      <c r="H3" s="95" t="str">
        <f>+Template!H3</f>
        <v>Upgrade Status Databases</v>
      </c>
      <c r="I3" s="95" t="str">
        <f>+Template!I3</f>
        <v>Failed Timer Jobs</v>
      </c>
      <c r="J3" s="95" t="str">
        <f>+Template!J3</f>
        <v>Deployment Status Solutions</v>
      </c>
      <c r="K3" s="95" t="str">
        <f>+Template!K3</f>
        <v>Content Database Size</v>
      </c>
      <c r="L3" s="95" t="str">
        <f>+Template!L3</f>
        <v>Service Application Status</v>
      </c>
      <c r="M3" s="95" t="s">
        <v>98</v>
      </c>
      <c r="N3" s="95" t="s">
        <v>99</v>
      </c>
      <c r="O3" s="95" t="str">
        <f>+Template!O3</f>
        <v>Search Topology</v>
      </c>
      <c r="P3" s="95" t="str">
        <f>+Template!P3</f>
        <v>Search Gatherer Logs</v>
      </c>
      <c r="Q3" s="95" t="s">
        <v>100</v>
      </c>
      <c r="R3" s="95" t="str">
        <f>+Template!R3</f>
        <v>Last Boot Time</v>
      </c>
      <c r="S3" s="95" t="str">
        <f>+Template!S3</f>
        <v>Running Services Check</v>
      </c>
      <c r="T3" s="95" t="str">
        <f>+Template!T3</f>
        <v>Scheduled Tasks</v>
      </c>
      <c r="U3" s="95" t="str">
        <f>+Template!U3</f>
        <v>Running websites en application pools</v>
      </c>
      <c r="V3" s="95" t="str">
        <f>+Template!V3</f>
        <v>Group Membership Check</v>
      </c>
      <c r="W3" s="95" t="str">
        <f>+Template!W3</f>
        <v>Backup Status</v>
      </c>
      <c r="X3" s="95" t="str">
        <f>+Template!X3</f>
        <v>Permissions Check</v>
      </c>
      <c r="Y3" s="95" t="str">
        <f>+Template!Y3</f>
        <v>New Updates</v>
      </c>
      <c r="Z3" s="95" t="str">
        <f>+Template!Z3</f>
        <v>Baseline Settings</v>
      </c>
      <c r="AA3" s="95" t="str">
        <f>+Template!AA3</f>
        <v>Access Check</v>
      </c>
      <c r="AB3" s="95" t="str">
        <f>+Template!AB3</f>
        <v>Missing Security Updates/Service Packs</v>
      </c>
      <c r="AC3" s="95" t="str">
        <f>+Template!AC3</f>
        <v>Policy Compliance</v>
      </c>
      <c r="AD3" s="95" t="str">
        <f>+Template!AD3</f>
        <v>Documentation Check</v>
      </c>
      <c r="AE3" s="95" t="str">
        <f>+Template!AE3</f>
        <v>SSL Certificates Check</v>
      </c>
      <c r="AF3" s="95" t="str">
        <f>+Template!AF3</f>
        <v>Disaster Recovery Test</v>
      </c>
      <c r="AG3" s="95" t="str">
        <f>+Template!AG3</f>
        <v>Lifecycle Check</v>
      </c>
      <c r="AH3" s="96" t="str">
        <f>+Template!AH3</f>
        <v>Performed by:</v>
      </c>
      <c r="AI3" s="94" t="str">
        <f>+Template!D3</f>
        <v>Quick environment check</v>
      </c>
      <c r="AJ3" s="95" t="str">
        <f>+Template!E3</f>
        <v>Health Analyzer Issues</v>
      </c>
      <c r="AK3" s="95" t="str">
        <f>+Template!F3</f>
        <v>Content Database Status</v>
      </c>
      <c r="AL3" s="95" t="str">
        <f>+Template!G3</f>
        <v>Upgrade Status Servers</v>
      </c>
      <c r="AM3" s="95" t="str">
        <f>+Template!H3</f>
        <v>Upgrade Status Databases</v>
      </c>
      <c r="AN3" s="95" t="str">
        <f>+Template!I3</f>
        <v>Failed Timer Jobs</v>
      </c>
      <c r="AO3" s="95" t="str">
        <f>+Template!J3</f>
        <v>Deployment Status Solutions</v>
      </c>
      <c r="AP3" s="95" t="str">
        <f>+Template!K3</f>
        <v>Content Database Size</v>
      </c>
      <c r="AQ3" s="95" t="str">
        <f>+Template!L3</f>
        <v>Service Application Status</v>
      </c>
      <c r="AR3" s="95" t="s">
        <v>98</v>
      </c>
      <c r="AS3" s="95" t="s">
        <v>99</v>
      </c>
      <c r="AT3" s="95" t="str">
        <f>+Template!O3</f>
        <v>Search Topology</v>
      </c>
      <c r="AU3" s="95" t="str">
        <f>+Template!P3</f>
        <v>Search Gatherer Logs</v>
      </c>
      <c r="AV3" s="95" t="s">
        <v>100</v>
      </c>
      <c r="AW3" s="95" t="str">
        <f>+Template!R3</f>
        <v>Last Boot Time</v>
      </c>
      <c r="AX3" s="95" t="str">
        <f>+Template!S3</f>
        <v>Running Services Check</v>
      </c>
      <c r="AY3" s="95" t="str">
        <f>+Template!T3</f>
        <v>Scheduled Tasks</v>
      </c>
      <c r="AZ3" s="95" t="str">
        <f>+Template!U3</f>
        <v>Running websites en application pools</v>
      </c>
      <c r="BA3" s="95" t="str">
        <f>+Template!V3</f>
        <v>Group Membership Check</v>
      </c>
      <c r="BB3" s="95" t="str">
        <f>+Template!W3</f>
        <v>Backup Status</v>
      </c>
      <c r="BC3" s="95" t="str">
        <f>+Template!X3</f>
        <v>Permissions Check</v>
      </c>
      <c r="BD3" s="95" t="str">
        <f>+Template!Y3</f>
        <v>New Updates</v>
      </c>
      <c r="BE3" s="95" t="str">
        <f>+Template!Z3</f>
        <v>Baseline Settings</v>
      </c>
      <c r="BF3" s="95" t="str">
        <f>+Template!AA3</f>
        <v>Access Check</v>
      </c>
      <c r="BG3" s="95" t="str">
        <f>+Template!AB3</f>
        <v>Missing Security Updates/Service Packs</v>
      </c>
      <c r="BH3" s="95" t="str">
        <f>+Template!AC3</f>
        <v>Policy Compliance</v>
      </c>
      <c r="BI3" s="95" t="str">
        <f>+Template!AD3</f>
        <v>Documentation Check</v>
      </c>
      <c r="BJ3" s="95" t="str">
        <f>+Template!AE3</f>
        <v>SSL Certificates Check</v>
      </c>
      <c r="BK3" s="95" t="str">
        <f>+Template!AF3</f>
        <v>Disaster Recovery Test</v>
      </c>
      <c r="BL3" s="95" t="str">
        <f>+Template!AG3</f>
        <v>Lifecycle Check</v>
      </c>
      <c r="BM3" s="96" t="str">
        <f>+Template!AH3</f>
        <v>Performed by:</v>
      </c>
      <c r="BN3" s="94" t="str">
        <f>+Template!D3</f>
        <v>Quick environment check</v>
      </c>
      <c r="BO3" s="95" t="str">
        <f>+Template!E3</f>
        <v>Health Analyzer Issues</v>
      </c>
      <c r="BP3" s="95" t="str">
        <f>+Template!F3</f>
        <v>Content Database Status</v>
      </c>
      <c r="BQ3" s="95" t="str">
        <f>+Template!G3</f>
        <v>Upgrade Status Servers</v>
      </c>
      <c r="BR3" s="95" t="str">
        <f>+Template!H3</f>
        <v>Upgrade Status Databases</v>
      </c>
      <c r="BS3" s="95" t="str">
        <f>+Template!I3</f>
        <v>Failed Timer Jobs</v>
      </c>
      <c r="BT3" s="95" t="str">
        <f>+Template!J3</f>
        <v>Deployment Status Solutions</v>
      </c>
      <c r="BU3" s="95" t="str">
        <f>+Template!K3</f>
        <v>Content Database Size</v>
      </c>
      <c r="BV3" s="95" t="str">
        <f>+Template!L3</f>
        <v>Service Application Status</v>
      </c>
      <c r="BW3" s="95" t="s">
        <v>98</v>
      </c>
      <c r="BX3" s="95" t="s">
        <v>99</v>
      </c>
      <c r="BY3" s="95" t="str">
        <f>+Template!O3</f>
        <v>Search Topology</v>
      </c>
      <c r="BZ3" s="95" t="str">
        <f>+Template!P3</f>
        <v>Search Gatherer Logs</v>
      </c>
      <c r="CA3" s="95" t="s">
        <v>100</v>
      </c>
      <c r="CB3" s="95" t="str">
        <f>+Template!R3</f>
        <v>Last Boot Time</v>
      </c>
      <c r="CC3" s="95" t="str">
        <f>+Template!S3</f>
        <v>Running Services Check</v>
      </c>
      <c r="CD3" s="95" t="str">
        <f>+Template!T3</f>
        <v>Scheduled Tasks</v>
      </c>
      <c r="CE3" s="95" t="str">
        <f>+Template!U3</f>
        <v>Running websites en application pools</v>
      </c>
      <c r="CF3" s="95" t="str">
        <f>+Template!V3</f>
        <v>Group Membership Check</v>
      </c>
      <c r="CG3" s="95" t="str">
        <f>+Template!W3</f>
        <v>Backup Status</v>
      </c>
      <c r="CH3" s="95" t="str">
        <f>+Template!X3</f>
        <v>Permissions Check</v>
      </c>
      <c r="CI3" s="95" t="str">
        <f>+Template!Y3</f>
        <v>New Updates</v>
      </c>
      <c r="CJ3" s="95" t="str">
        <f>+Template!Z3</f>
        <v>Baseline Settings</v>
      </c>
      <c r="CK3" s="95" t="str">
        <f>+Template!AA3</f>
        <v>Access Check</v>
      </c>
      <c r="CL3" s="95" t="str">
        <f>+Template!AB3</f>
        <v>Missing Security Updates/Service Packs</v>
      </c>
      <c r="CM3" s="95" t="str">
        <f>+Template!AC3</f>
        <v>Policy Compliance</v>
      </c>
      <c r="CN3" s="95" t="str">
        <f>+Template!AD3</f>
        <v>Documentation Check</v>
      </c>
      <c r="CO3" s="95" t="str">
        <f>+Template!AE3</f>
        <v>SSL Certificates Check</v>
      </c>
      <c r="CP3" s="95" t="str">
        <f>+Template!AF3</f>
        <v>Disaster Recovery Test</v>
      </c>
      <c r="CQ3" s="95" t="str">
        <f>+Template!AG3</f>
        <v>Lifecycle Check</v>
      </c>
      <c r="CR3" s="96" t="str">
        <f>+Template!AH3</f>
        <v>Performed by:</v>
      </c>
      <c r="CS3" s="94" t="str">
        <f>+Template!D3</f>
        <v>Quick environment check</v>
      </c>
      <c r="CT3" s="95" t="str">
        <f>+Template!E3</f>
        <v>Health Analyzer Issues</v>
      </c>
      <c r="CU3" s="95" t="str">
        <f>+Template!F3</f>
        <v>Content Database Status</v>
      </c>
      <c r="CV3" s="95" t="str">
        <f>+Template!G3</f>
        <v>Upgrade Status Servers</v>
      </c>
      <c r="CW3" s="95" t="str">
        <f>+Template!H3</f>
        <v>Upgrade Status Databases</v>
      </c>
      <c r="CX3" s="95" t="str">
        <f>+Template!I3</f>
        <v>Failed Timer Jobs</v>
      </c>
      <c r="CY3" s="95" t="str">
        <f>+Template!J3</f>
        <v>Deployment Status Solutions</v>
      </c>
      <c r="CZ3" s="95" t="str">
        <f>+Template!K3</f>
        <v>Content Database Size</v>
      </c>
      <c r="DA3" s="95" t="str">
        <f>+Template!L3</f>
        <v>Service Application Status</v>
      </c>
      <c r="DB3" s="95" t="s">
        <v>98</v>
      </c>
      <c r="DC3" s="95" t="s">
        <v>99</v>
      </c>
      <c r="DD3" s="95" t="str">
        <f>+Template!O3</f>
        <v>Search Topology</v>
      </c>
      <c r="DE3" s="95" t="str">
        <f>+Template!P3</f>
        <v>Search Gatherer Logs</v>
      </c>
      <c r="DF3" s="95" t="s">
        <v>100</v>
      </c>
      <c r="DG3" s="95" t="str">
        <f>+Template!R3</f>
        <v>Last Boot Time</v>
      </c>
      <c r="DH3" s="95" t="str">
        <f>+Template!S3</f>
        <v>Running Services Check</v>
      </c>
      <c r="DI3" s="95" t="str">
        <f>+Template!T3</f>
        <v>Scheduled Tasks</v>
      </c>
      <c r="DJ3" s="95" t="str">
        <f>+Template!U3</f>
        <v>Running websites en application pools</v>
      </c>
      <c r="DK3" s="95" t="str">
        <f>+Template!V3</f>
        <v>Group Membership Check</v>
      </c>
      <c r="DL3" s="95" t="str">
        <f>+Template!W3</f>
        <v>Backup Status</v>
      </c>
      <c r="DM3" s="95" t="str">
        <f>+Template!X3</f>
        <v>Permissions Check</v>
      </c>
      <c r="DN3" s="95" t="str">
        <f>+Template!Y3</f>
        <v>New Updates</v>
      </c>
      <c r="DO3" s="95" t="str">
        <f>+Template!Z3</f>
        <v>Baseline Settings</v>
      </c>
      <c r="DP3" s="95" t="str">
        <f>+Template!AA3</f>
        <v>Access Check</v>
      </c>
      <c r="DQ3" s="95" t="str">
        <f>+Template!AB3</f>
        <v>Missing Security Updates/Service Packs</v>
      </c>
      <c r="DR3" s="95" t="str">
        <f>+Template!AC3</f>
        <v>Policy Compliance</v>
      </c>
      <c r="DS3" s="95" t="str">
        <f>+Template!AD3</f>
        <v>Documentation Check</v>
      </c>
      <c r="DT3" s="95" t="str">
        <f>+Template!AE3</f>
        <v>SSL Certificates Check</v>
      </c>
      <c r="DU3" s="95" t="str">
        <f>+Template!AF3</f>
        <v>Disaster Recovery Test</v>
      </c>
      <c r="DV3" s="95" t="str">
        <f>+Template!AG3</f>
        <v>Lifecycle Check</v>
      </c>
      <c r="DW3" s="96" t="str">
        <f>+Template!AH3</f>
        <v>Performed by:</v>
      </c>
      <c r="DX3" s="125"/>
      <c r="DY3" s="126"/>
      <c r="DZ3" s="126"/>
      <c r="EA3" s="126"/>
    </row>
    <row r="4" spans="1:141" ht="23.25" customHeight="1" thickBot="1" x14ac:dyDescent="0.45">
      <c r="C4" s="97">
        <f>Jaartal</f>
        <v>2020</v>
      </c>
      <c r="D4" s="94">
        <f>+Template!D4</f>
        <v>1</v>
      </c>
      <c r="E4" s="95">
        <f>+Template!E4</f>
        <v>10</v>
      </c>
      <c r="F4" s="95">
        <f>+Template!F4</f>
        <v>11</v>
      </c>
      <c r="G4" s="95">
        <f>+Template!G4</f>
        <v>12</v>
      </c>
      <c r="H4" s="95">
        <f>+Template!H4</f>
        <v>13</v>
      </c>
      <c r="I4" s="95">
        <f>+Template!I4</f>
        <v>14</v>
      </c>
      <c r="J4" s="95">
        <f>+Template!J4</f>
        <v>15</v>
      </c>
      <c r="K4" s="95">
        <f>+Template!K4</f>
        <v>16</v>
      </c>
      <c r="L4" s="95">
        <f>+Template!L4</f>
        <v>17</v>
      </c>
      <c r="M4" s="95">
        <v>18</v>
      </c>
      <c r="N4" s="95">
        <v>19</v>
      </c>
      <c r="O4" s="95">
        <f>+Template!O4</f>
        <v>20</v>
      </c>
      <c r="P4" s="95">
        <f>+Template!P4</f>
        <v>21</v>
      </c>
      <c r="Q4" s="95">
        <v>22</v>
      </c>
      <c r="R4" s="95">
        <f>+Template!R4</f>
        <v>30</v>
      </c>
      <c r="S4" s="95">
        <f>+Template!S4</f>
        <v>31</v>
      </c>
      <c r="T4" s="95">
        <f>+Template!T4</f>
        <v>32</v>
      </c>
      <c r="U4" s="95">
        <f>+Template!U4</f>
        <v>33</v>
      </c>
      <c r="V4" s="95">
        <f>+Template!V4</f>
        <v>34</v>
      </c>
      <c r="W4" s="95">
        <f>+Template!W4</f>
        <v>40</v>
      </c>
      <c r="X4" s="95" t="str">
        <f>+Template!X4</f>
        <v>W01</v>
      </c>
      <c r="Y4" s="95" t="str">
        <f>+Template!Y4</f>
        <v>W02</v>
      </c>
      <c r="Z4" s="95" t="str">
        <f>+Template!Z4</f>
        <v>W03</v>
      </c>
      <c r="AA4" s="95" t="str">
        <f>+Template!AA4</f>
        <v>W04</v>
      </c>
      <c r="AB4" s="95" t="str">
        <f>+Template!AB4</f>
        <v>M01</v>
      </c>
      <c r="AC4" s="95" t="str">
        <f>+Template!AC4</f>
        <v>M02</v>
      </c>
      <c r="AD4" s="95" t="str">
        <f>+Template!AD4</f>
        <v>M03</v>
      </c>
      <c r="AE4" s="95" t="str">
        <f>+Template!AE4</f>
        <v>M04</v>
      </c>
      <c r="AF4" s="95" t="str">
        <f>+Template!AF4</f>
        <v>Q01</v>
      </c>
      <c r="AG4" s="95" t="str">
        <f>+Template!AG4</f>
        <v>Q02</v>
      </c>
      <c r="AH4" s="98"/>
      <c r="AI4" s="94">
        <f>+Template!D4</f>
        <v>1</v>
      </c>
      <c r="AJ4" s="95">
        <f>+Template!E4</f>
        <v>10</v>
      </c>
      <c r="AK4" s="95">
        <f>+Template!F4</f>
        <v>11</v>
      </c>
      <c r="AL4" s="95">
        <f>+Template!G4</f>
        <v>12</v>
      </c>
      <c r="AM4" s="95">
        <f>+Template!H4</f>
        <v>13</v>
      </c>
      <c r="AN4" s="95">
        <f>+Template!I4</f>
        <v>14</v>
      </c>
      <c r="AO4" s="95">
        <f>+Template!J4</f>
        <v>15</v>
      </c>
      <c r="AP4" s="95">
        <f>+Template!K4</f>
        <v>16</v>
      </c>
      <c r="AQ4" s="95">
        <f>+Template!L4</f>
        <v>17</v>
      </c>
      <c r="AR4" s="95">
        <v>18</v>
      </c>
      <c r="AS4" s="95">
        <v>19</v>
      </c>
      <c r="AT4" s="95">
        <f>+Template!O4</f>
        <v>20</v>
      </c>
      <c r="AU4" s="95">
        <f>+Template!P4</f>
        <v>21</v>
      </c>
      <c r="AV4" s="95">
        <v>22</v>
      </c>
      <c r="AW4" s="95">
        <f>+Template!R4</f>
        <v>30</v>
      </c>
      <c r="AX4" s="95">
        <f>+Template!S4</f>
        <v>31</v>
      </c>
      <c r="AY4" s="95">
        <f>+Template!T4</f>
        <v>32</v>
      </c>
      <c r="AZ4" s="95">
        <f>+Template!U4</f>
        <v>33</v>
      </c>
      <c r="BA4" s="95">
        <f>+Template!V4</f>
        <v>34</v>
      </c>
      <c r="BB4" s="95">
        <f>+Template!W4</f>
        <v>40</v>
      </c>
      <c r="BC4" s="95" t="str">
        <f>+Template!X4</f>
        <v>W01</v>
      </c>
      <c r="BD4" s="95" t="str">
        <f>+Template!Y4</f>
        <v>W02</v>
      </c>
      <c r="BE4" s="95" t="str">
        <f>+Template!Z4</f>
        <v>W03</v>
      </c>
      <c r="BF4" s="95" t="str">
        <f>+Template!AA4</f>
        <v>W04</v>
      </c>
      <c r="BG4" s="95" t="str">
        <f>+Template!AB4</f>
        <v>M01</v>
      </c>
      <c r="BH4" s="95" t="str">
        <f>+Template!AC4</f>
        <v>M02</v>
      </c>
      <c r="BI4" s="95" t="str">
        <f>+Template!AD4</f>
        <v>M03</v>
      </c>
      <c r="BJ4" s="95" t="str">
        <f>+Template!AE4</f>
        <v>M04</v>
      </c>
      <c r="BK4" s="95" t="str">
        <f>+Template!AF4</f>
        <v>Q01</v>
      </c>
      <c r="BL4" s="95" t="str">
        <f>+Template!AG4</f>
        <v>Q02</v>
      </c>
      <c r="BM4" s="98"/>
      <c r="BN4" s="94">
        <f>+Template!D4</f>
        <v>1</v>
      </c>
      <c r="BO4" s="95">
        <f>+Template!E4</f>
        <v>10</v>
      </c>
      <c r="BP4" s="95">
        <f>+Template!F4</f>
        <v>11</v>
      </c>
      <c r="BQ4" s="95">
        <f>+Template!G4</f>
        <v>12</v>
      </c>
      <c r="BR4" s="95">
        <f>+Template!H4</f>
        <v>13</v>
      </c>
      <c r="BS4" s="95">
        <f>+Template!I4</f>
        <v>14</v>
      </c>
      <c r="BT4" s="95">
        <f>+Template!J4</f>
        <v>15</v>
      </c>
      <c r="BU4" s="95">
        <f>+Template!K4</f>
        <v>16</v>
      </c>
      <c r="BV4" s="95">
        <f>+Template!L4</f>
        <v>17</v>
      </c>
      <c r="BW4" s="95">
        <v>18</v>
      </c>
      <c r="BX4" s="95">
        <v>19</v>
      </c>
      <c r="BY4" s="95">
        <f>+Template!O4</f>
        <v>20</v>
      </c>
      <c r="BZ4" s="95">
        <f>+Template!P4</f>
        <v>21</v>
      </c>
      <c r="CA4" s="95">
        <v>22</v>
      </c>
      <c r="CB4" s="95">
        <f>+Template!R4</f>
        <v>30</v>
      </c>
      <c r="CC4" s="95">
        <f>+Template!S4</f>
        <v>31</v>
      </c>
      <c r="CD4" s="95">
        <f>+Template!T4</f>
        <v>32</v>
      </c>
      <c r="CE4" s="95">
        <f>+Template!U4</f>
        <v>33</v>
      </c>
      <c r="CF4" s="95">
        <f>+Template!V4</f>
        <v>34</v>
      </c>
      <c r="CG4" s="95">
        <f>+Template!W4</f>
        <v>40</v>
      </c>
      <c r="CH4" s="95" t="str">
        <f>+Template!X4</f>
        <v>W01</v>
      </c>
      <c r="CI4" s="95" t="str">
        <f>+Template!Y4</f>
        <v>W02</v>
      </c>
      <c r="CJ4" s="95" t="str">
        <f>+Template!Z4</f>
        <v>W03</v>
      </c>
      <c r="CK4" s="95" t="str">
        <f>+Template!AA4</f>
        <v>W04</v>
      </c>
      <c r="CL4" s="95" t="str">
        <f>+Template!AB4</f>
        <v>M01</v>
      </c>
      <c r="CM4" s="95" t="str">
        <f>+Template!AC4</f>
        <v>M02</v>
      </c>
      <c r="CN4" s="95" t="str">
        <f>+Template!AD4</f>
        <v>M03</v>
      </c>
      <c r="CO4" s="95" t="str">
        <f>+Template!AE4</f>
        <v>M04</v>
      </c>
      <c r="CP4" s="95" t="str">
        <f>+Template!AF4</f>
        <v>Q01</v>
      </c>
      <c r="CQ4" s="95" t="str">
        <f>+Template!AG4</f>
        <v>Q02</v>
      </c>
      <c r="CR4" s="98"/>
      <c r="CS4" s="94">
        <f>+Template!D4</f>
        <v>1</v>
      </c>
      <c r="CT4" s="95">
        <f>+Template!E4</f>
        <v>10</v>
      </c>
      <c r="CU4" s="95">
        <f>+Template!F4</f>
        <v>11</v>
      </c>
      <c r="CV4" s="95">
        <f>+Template!G4</f>
        <v>12</v>
      </c>
      <c r="CW4" s="95">
        <f>+Template!H4</f>
        <v>13</v>
      </c>
      <c r="CX4" s="95">
        <f>+Template!I4</f>
        <v>14</v>
      </c>
      <c r="CY4" s="95">
        <f>+Template!J4</f>
        <v>15</v>
      </c>
      <c r="CZ4" s="95">
        <f>+Template!K4</f>
        <v>16</v>
      </c>
      <c r="DA4" s="95">
        <f>+Template!L4</f>
        <v>17</v>
      </c>
      <c r="DB4" s="95">
        <v>18</v>
      </c>
      <c r="DC4" s="95">
        <v>19</v>
      </c>
      <c r="DD4" s="95">
        <f>+Template!O4</f>
        <v>20</v>
      </c>
      <c r="DE4" s="95">
        <f>+Template!P4</f>
        <v>21</v>
      </c>
      <c r="DF4" s="95">
        <v>22</v>
      </c>
      <c r="DG4" s="95">
        <f>+Template!R4</f>
        <v>30</v>
      </c>
      <c r="DH4" s="95">
        <f>+Template!S4</f>
        <v>31</v>
      </c>
      <c r="DI4" s="95">
        <f>+Template!T4</f>
        <v>32</v>
      </c>
      <c r="DJ4" s="95">
        <f>+Template!U4</f>
        <v>33</v>
      </c>
      <c r="DK4" s="95">
        <f>+Template!V4</f>
        <v>34</v>
      </c>
      <c r="DL4" s="95">
        <f>+Template!W4</f>
        <v>40</v>
      </c>
      <c r="DM4" s="95" t="str">
        <f>+Template!X4</f>
        <v>W01</v>
      </c>
      <c r="DN4" s="95" t="str">
        <f>+Template!Y4</f>
        <v>W02</v>
      </c>
      <c r="DO4" s="95" t="str">
        <f>+Template!Z4</f>
        <v>W03</v>
      </c>
      <c r="DP4" s="95" t="str">
        <f>+Template!AA4</f>
        <v>W04</v>
      </c>
      <c r="DQ4" s="95" t="str">
        <f>+Template!AB4</f>
        <v>M01</v>
      </c>
      <c r="DR4" s="95" t="str">
        <f>+Template!AC4</f>
        <v>M02</v>
      </c>
      <c r="DS4" s="95" t="str">
        <f>+Template!AD4</f>
        <v>M03</v>
      </c>
      <c r="DT4" s="95" t="str">
        <f>+Template!AE4</f>
        <v>M04</v>
      </c>
      <c r="DU4" s="95" t="str">
        <f>+Template!AF4</f>
        <v>Q01</v>
      </c>
      <c r="DV4" s="95" t="str">
        <f>+Template!AG4</f>
        <v>Q02</v>
      </c>
      <c r="DW4" s="98"/>
      <c r="DX4" s="125"/>
      <c r="DY4" s="126"/>
      <c r="DZ4" s="126"/>
      <c r="EA4" s="126"/>
    </row>
    <row r="5" spans="1:141" x14ac:dyDescent="0.4">
      <c r="A5" s="74">
        <f>WEEKDAY(C5)</f>
        <v>3</v>
      </c>
      <c r="B5" s="74">
        <v>1</v>
      </c>
      <c r="C5" s="127">
        <f>DATE(Jaartal,September!$B$3,September!$B5)</f>
        <v>44075</v>
      </c>
      <c r="D5" s="100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2"/>
      <c r="AI5" s="100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2"/>
      <c r="BN5" s="100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2"/>
      <c r="CS5" s="100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3"/>
      <c r="DJ5" s="103"/>
      <c r="DK5" s="103"/>
      <c r="DL5" s="103"/>
      <c r="DM5" s="103"/>
      <c r="DN5" s="103"/>
      <c r="DO5" s="103"/>
      <c r="DP5" s="103"/>
      <c r="DQ5" s="103"/>
      <c r="DR5" s="103"/>
      <c r="DS5" s="103"/>
      <c r="DT5" s="103"/>
      <c r="DU5" s="103"/>
      <c r="DV5" s="103"/>
      <c r="DW5" s="102"/>
      <c r="DX5" s="128"/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</row>
    <row r="6" spans="1:141" x14ac:dyDescent="0.4">
      <c r="A6" s="74">
        <f t="shared" ref="A6:A35" si="0">WEEKDAY(C6)</f>
        <v>4</v>
      </c>
      <c r="B6" s="74">
        <v>2</v>
      </c>
      <c r="C6" s="127">
        <f>DATE(Jaartal,September!$B$3,September!$B6)</f>
        <v>44076</v>
      </c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6"/>
      <c r="AI6" s="104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6"/>
      <c r="BN6" s="104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6"/>
      <c r="CS6" s="104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6"/>
      <c r="DX6" s="128"/>
      <c r="DY6" s="128"/>
      <c r="DZ6" s="128"/>
      <c r="EA6" s="128"/>
      <c r="EB6" s="128"/>
      <c r="EC6" s="128"/>
      <c r="ED6" s="128"/>
      <c r="EE6" s="128"/>
      <c r="EF6" s="128"/>
      <c r="EG6" s="128"/>
      <c r="EH6" s="128"/>
      <c r="EI6" s="128"/>
      <c r="EJ6" s="128"/>
      <c r="EK6" s="128"/>
    </row>
    <row r="7" spans="1:141" x14ac:dyDescent="0.4">
      <c r="A7" s="74">
        <f t="shared" si="0"/>
        <v>5</v>
      </c>
      <c r="B7" s="74">
        <v>3</v>
      </c>
      <c r="C7" s="127">
        <f>DATE(Jaartal,September!$B$3,September!$B7)</f>
        <v>44077</v>
      </c>
      <c r="D7" s="104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6"/>
      <c r="AI7" s="104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6"/>
      <c r="BN7" s="104"/>
      <c r="BO7" s="105"/>
      <c r="BP7" s="105"/>
      <c r="BQ7" s="105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6"/>
      <c r="CS7" s="104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6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</row>
    <row r="8" spans="1:141" x14ac:dyDescent="0.4">
      <c r="A8" s="74">
        <f t="shared" si="0"/>
        <v>6</v>
      </c>
      <c r="B8" s="74">
        <v>4</v>
      </c>
      <c r="C8" s="127">
        <f>DATE(Jaartal,September!$B$3,September!$B8)</f>
        <v>44078</v>
      </c>
      <c r="D8" s="104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6"/>
      <c r="AI8" s="104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6"/>
      <c r="BN8" s="104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6"/>
      <c r="CS8" s="104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/>
      <c r="DT8" s="107"/>
      <c r="DU8" s="107"/>
      <c r="DV8" s="107"/>
      <c r="DW8" s="106"/>
      <c r="DX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</row>
    <row r="9" spans="1:141" x14ac:dyDescent="0.4">
      <c r="A9" s="74">
        <f t="shared" si="0"/>
        <v>7</v>
      </c>
      <c r="B9" s="74">
        <v>5</v>
      </c>
      <c r="C9" s="127">
        <f>DATE(Jaartal,September!$B$3,September!$B9)</f>
        <v>44079</v>
      </c>
      <c r="D9" s="104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6"/>
      <c r="AI9" s="104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6"/>
      <c r="BN9" s="104"/>
      <c r="BO9" s="105"/>
      <c r="BP9" s="105"/>
      <c r="BQ9" s="105"/>
      <c r="BR9" s="105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6"/>
      <c r="CS9" s="104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5"/>
      <c r="DH9" s="105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6"/>
      <c r="DX9" s="128"/>
      <c r="DY9" s="128"/>
      <c r="DZ9" s="128"/>
      <c r="EA9" s="128"/>
      <c r="EB9" s="128"/>
      <c r="EC9" s="128"/>
      <c r="ED9" s="128"/>
      <c r="EE9" s="128"/>
      <c r="EF9" s="128"/>
      <c r="EG9" s="128"/>
      <c r="EH9" s="128"/>
      <c r="EI9" s="128"/>
      <c r="EJ9" s="128"/>
      <c r="EK9" s="128"/>
    </row>
    <row r="10" spans="1:141" x14ac:dyDescent="0.4">
      <c r="A10" s="74">
        <f t="shared" si="0"/>
        <v>1</v>
      </c>
      <c r="B10" s="74">
        <v>6</v>
      </c>
      <c r="C10" s="127">
        <f>DATE(Jaartal,September!$B$3,September!$B10)</f>
        <v>44080</v>
      </c>
      <c r="D10" s="104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6"/>
      <c r="AI10" s="104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6"/>
      <c r="BN10" s="104"/>
      <c r="BO10" s="105"/>
      <c r="BP10" s="105"/>
      <c r="BQ10" s="105"/>
      <c r="BR10" s="105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6"/>
      <c r="CS10" s="104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5"/>
      <c r="DH10" s="105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6"/>
      <c r="DX10" s="128"/>
      <c r="DY10" s="128"/>
      <c r="DZ10" s="128"/>
      <c r="EA10" s="128"/>
      <c r="EB10" s="128"/>
      <c r="EC10" s="128"/>
      <c r="ED10" s="128"/>
      <c r="EE10" s="128"/>
      <c r="EF10" s="128"/>
      <c r="EG10" s="128"/>
      <c r="EH10" s="128"/>
      <c r="EI10" s="128"/>
      <c r="EJ10" s="128"/>
      <c r="EK10" s="128"/>
    </row>
    <row r="11" spans="1:141" x14ac:dyDescent="0.4">
      <c r="A11" s="74">
        <f t="shared" si="0"/>
        <v>2</v>
      </c>
      <c r="B11" s="74">
        <v>7</v>
      </c>
      <c r="C11" s="127">
        <f>DATE(Jaartal,September!$B$3,September!$B11)</f>
        <v>44081</v>
      </c>
      <c r="D11" s="104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6"/>
      <c r="AI11" s="104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6"/>
      <c r="BN11" s="104"/>
      <c r="BO11" s="105"/>
      <c r="BP11" s="105"/>
      <c r="BQ11" s="105"/>
      <c r="BR11" s="105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6"/>
      <c r="CS11" s="104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5"/>
      <c r="DH11" s="105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6"/>
      <c r="DX11" s="128"/>
      <c r="DY11" s="128"/>
      <c r="DZ11" s="128"/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</row>
    <row r="12" spans="1:141" x14ac:dyDescent="0.4">
      <c r="A12" s="74">
        <f t="shared" si="0"/>
        <v>3</v>
      </c>
      <c r="B12" s="74">
        <v>8</v>
      </c>
      <c r="C12" s="127">
        <f>DATE(Jaartal,September!$B$3,September!$B12)</f>
        <v>44082</v>
      </c>
      <c r="D12" s="104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6"/>
      <c r="AI12" s="104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6"/>
      <c r="BN12" s="104"/>
      <c r="BO12" s="105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6"/>
      <c r="CS12" s="104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5"/>
      <c r="DH12" s="105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6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</row>
    <row r="13" spans="1:141" x14ac:dyDescent="0.4">
      <c r="A13" s="74">
        <f t="shared" si="0"/>
        <v>4</v>
      </c>
      <c r="B13" s="74">
        <v>9</v>
      </c>
      <c r="C13" s="127">
        <f>DATE(Jaartal,September!$B$3,September!$B13)</f>
        <v>44083</v>
      </c>
      <c r="D13" s="104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6"/>
      <c r="AI13" s="104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6"/>
      <c r="BN13" s="104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6"/>
      <c r="CS13" s="104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5"/>
      <c r="DH13" s="105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6"/>
      <c r="DX13" s="128"/>
      <c r="DY13" s="128"/>
      <c r="DZ13" s="128"/>
      <c r="EA13" s="128"/>
      <c r="EB13" s="128"/>
      <c r="EC13" s="128"/>
      <c r="ED13" s="128"/>
      <c r="EE13" s="128"/>
      <c r="EF13" s="128"/>
      <c r="EG13" s="128"/>
      <c r="EH13" s="128"/>
      <c r="EI13" s="128"/>
      <c r="EJ13" s="128"/>
      <c r="EK13" s="128"/>
    </row>
    <row r="14" spans="1:141" x14ac:dyDescent="0.4">
      <c r="A14" s="74">
        <f t="shared" si="0"/>
        <v>5</v>
      </c>
      <c r="B14" s="74">
        <v>10</v>
      </c>
      <c r="C14" s="127">
        <f>DATE(Jaartal,September!$B$3,September!$B14)</f>
        <v>44084</v>
      </c>
      <c r="D14" s="104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6"/>
      <c r="AI14" s="104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6"/>
      <c r="BN14" s="104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6"/>
      <c r="CS14" s="104"/>
      <c r="CT14" s="105"/>
      <c r="CU14" s="105"/>
      <c r="CV14" s="105"/>
      <c r="CW14" s="105"/>
      <c r="CX14" s="105"/>
      <c r="CY14" s="105"/>
      <c r="CZ14" s="105"/>
      <c r="DA14" s="105"/>
      <c r="DB14" s="105"/>
      <c r="DC14" s="105"/>
      <c r="DD14" s="105"/>
      <c r="DE14" s="105"/>
      <c r="DF14" s="105"/>
      <c r="DG14" s="105"/>
      <c r="DH14" s="105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6"/>
      <c r="DX14" s="128"/>
      <c r="DY14" s="128"/>
      <c r="DZ14" s="128"/>
      <c r="EA14" s="128"/>
      <c r="EB14" s="128"/>
      <c r="EC14" s="128"/>
      <c r="ED14" s="128"/>
      <c r="EE14" s="128"/>
      <c r="EF14" s="128"/>
      <c r="EG14" s="128"/>
      <c r="EH14" s="128"/>
      <c r="EI14" s="128"/>
      <c r="EJ14" s="128"/>
      <c r="EK14" s="128"/>
    </row>
    <row r="15" spans="1:141" x14ac:dyDescent="0.4">
      <c r="A15" s="74">
        <f t="shared" si="0"/>
        <v>6</v>
      </c>
      <c r="B15" s="74">
        <v>11</v>
      </c>
      <c r="C15" s="127">
        <f>DATE(Jaartal,September!$B$3,September!$B15)</f>
        <v>44085</v>
      </c>
      <c r="D15" s="104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6"/>
      <c r="AI15" s="104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6"/>
      <c r="BN15" s="104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6"/>
      <c r="CS15" s="104"/>
      <c r="CT15" s="105"/>
      <c r="CU15" s="105"/>
      <c r="CV15" s="105"/>
      <c r="CW15" s="105"/>
      <c r="CX15" s="105"/>
      <c r="CY15" s="105"/>
      <c r="CZ15" s="105"/>
      <c r="DA15" s="105"/>
      <c r="DB15" s="105"/>
      <c r="DC15" s="105"/>
      <c r="DD15" s="105"/>
      <c r="DE15" s="105"/>
      <c r="DF15" s="105"/>
      <c r="DG15" s="105"/>
      <c r="DH15" s="105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6"/>
      <c r="DX15" s="128"/>
      <c r="DY15" s="128"/>
      <c r="DZ15" s="128"/>
      <c r="EA15" s="128"/>
      <c r="EB15" s="128"/>
      <c r="EC15" s="128"/>
      <c r="ED15" s="128"/>
      <c r="EE15" s="128"/>
      <c r="EF15" s="128"/>
      <c r="EG15" s="128"/>
      <c r="EH15" s="128"/>
      <c r="EI15" s="128"/>
      <c r="EJ15" s="128"/>
      <c r="EK15" s="128"/>
    </row>
    <row r="16" spans="1:141" x14ac:dyDescent="0.4">
      <c r="A16" s="74">
        <f t="shared" si="0"/>
        <v>7</v>
      </c>
      <c r="B16" s="74">
        <v>12</v>
      </c>
      <c r="C16" s="127">
        <f>DATE(Jaartal,September!$B$3,September!$B16)</f>
        <v>44086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6"/>
      <c r="AI16" s="104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6"/>
      <c r="BN16" s="104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6"/>
      <c r="DX16" s="128"/>
      <c r="DY16" s="128"/>
      <c r="DZ16" s="128"/>
      <c r="EA16" s="128"/>
      <c r="EB16" s="128"/>
      <c r="EC16" s="128"/>
      <c r="ED16" s="128"/>
      <c r="EE16" s="128"/>
      <c r="EF16" s="128"/>
      <c r="EG16" s="128"/>
      <c r="EH16" s="128"/>
      <c r="EI16" s="128"/>
      <c r="EJ16" s="128"/>
      <c r="EK16" s="128"/>
    </row>
    <row r="17" spans="1:141" x14ac:dyDescent="0.4">
      <c r="A17" s="74">
        <f t="shared" si="0"/>
        <v>1</v>
      </c>
      <c r="B17" s="74">
        <v>13</v>
      </c>
      <c r="C17" s="127">
        <f>DATE(Jaartal,September!$B$3,September!$B17)</f>
        <v>44087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6"/>
      <c r="AI17" s="104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6"/>
      <c r="BN17" s="104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6"/>
      <c r="CS17" s="104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6"/>
      <c r="DX17" s="128"/>
      <c r="DY17" s="128"/>
      <c r="DZ17" s="128"/>
      <c r="EA17" s="128"/>
      <c r="EB17" s="128"/>
      <c r="EC17" s="128"/>
      <c r="ED17" s="128"/>
      <c r="EE17" s="128"/>
      <c r="EF17" s="128"/>
      <c r="EG17" s="128"/>
      <c r="EH17" s="128"/>
      <c r="EI17" s="128"/>
      <c r="EJ17" s="128"/>
      <c r="EK17" s="128"/>
    </row>
    <row r="18" spans="1:141" x14ac:dyDescent="0.4">
      <c r="A18" s="74">
        <f t="shared" si="0"/>
        <v>2</v>
      </c>
      <c r="B18" s="74">
        <v>14</v>
      </c>
      <c r="C18" s="127">
        <f>DATE(Jaartal,September!$B$3,September!$B18)</f>
        <v>44088</v>
      </c>
      <c r="D18" s="104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6"/>
      <c r="AI18" s="104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6"/>
      <c r="BN18" s="104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6"/>
      <c r="CS18" s="104"/>
      <c r="CT18" s="105"/>
      <c r="CU18" s="105"/>
      <c r="CV18" s="105"/>
      <c r="CW18" s="105"/>
      <c r="CX18" s="105"/>
      <c r="CY18" s="105"/>
      <c r="CZ18" s="105"/>
      <c r="DA18" s="105"/>
      <c r="DB18" s="105"/>
      <c r="DC18" s="105"/>
      <c r="DD18" s="105"/>
      <c r="DE18" s="105"/>
      <c r="DF18" s="105"/>
      <c r="DG18" s="105"/>
      <c r="DH18" s="105"/>
      <c r="DI18" s="107"/>
      <c r="DJ18" s="107"/>
      <c r="DK18" s="107"/>
      <c r="DL18" s="107"/>
      <c r="DM18" s="107"/>
      <c r="DN18" s="107"/>
      <c r="DO18" s="107"/>
      <c r="DP18" s="107"/>
      <c r="DQ18" s="107"/>
      <c r="DR18" s="107"/>
      <c r="DS18" s="107"/>
      <c r="DT18" s="107"/>
      <c r="DU18" s="107"/>
      <c r="DV18" s="107"/>
      <c r="DW18" s="106"/>
      <c r="DX18" s="128"/>
      <c r="DY18" s="128"/>
      <c r="DZ18" s="128"/>
      <c r="EA18" s="128"/>
      <c r="EB18" s="128"/>
      <c r="EC18" s="128"/>
      <c r="ED18" s="128"/>
      <c r="EE18" s="128"/>
      <c r="EF18" s="128"/>
      <c r="EG18" s="128"/>
      <c r="EH18" s="128"/>
      <c r="EI18" s="128"/>
      <c r="EJ18" s="128"/>
      <c r="EK18" s="128"/>
    </row>
    <row r="19" spans="1:141" x14ac:dyDescent="0.4">
      <c r="A19" s="74">
        <f t="shared" si="0"/>
        <v>3</v>
      </c>
      <c r="B19" s="74">
        <v>15</v>
      </c>
      <c r="C19" s="127">
        <f>DATE(Jaartal,September!$B$3,September!$B19)</f>
        <v>44089</v>
      </c>
      <c r="D19" s="104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6"/>
      <c r="AI19" s="104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6"/>
      <c r="BN19" s="104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6"/>
      <c r="CS19" s="104"/>
      <c r="CT19" s="105"/>
      <c r="CU19" s="105"/>
      <c r="CV19" s="105"/>
      <c r="CW19" s="105"/>
      <c r="CX19" s="105"/>
      <c r="CY19" s="105"/>
      <c r="CZ19" s="105"/>
      <c r="DA19" s="105"/>
      <c r="DB19" s="105"/>
      <c r="DC19" s="105"/>
      <c r="DD19" s="105"/>
      <c r="DE19" s="105"/>
      <c r="DF19" s="105"/>
      <c r="DG19" s="105"/>
      <c r="DH19" s="105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6"/>
      <c r="DX19" s="128"/>
      <c r="DY19" s="128"/>
      <c r="DZ19" s="128"/>
      <c r="EA19" s="128"/>
      <c r="EB19" s="128"/>
      <c r="EC19" s="128"/>
      <c r="ED19" s="128"/>
      <c r="EE19" s="128"/>
      <c r="EF19" s="128"/>
      <c r="EG19" s="128"/>
      <c r="EH19" s="128"/>
      <c r="EI19" s="128"/>
      <c r="EJ19" s="128"/>
      <c r="EK19" s="128"/>
    </row>
    <row r="20" spans="1:141" x14ac:dyDescent="0.4">
      <c r="A20" s="74">
        <f t="shared" si="0"/>
        <v>4</v>
      </c>
      <c r="B20" s="74">
        <v>16</v>
      </c>
      <c r="C20" s="127">
        <f>DATE(Jaartal,September!$B$3,September!$B20)</f>
        <v>44090</v>
      </c>
      <c r="D20" s="104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6"/>
      <c r="AI20" s="104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6"/>
      <c r="BN20" s="104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6"/>
      <c r="CS20" s="104"/>
      <c r="CT20" s="105"/>
      <c r="CU20" s="105"/>
      <c r="CV20" s="105"/>
      <c r="CW20" s="105"/>
      <c r="CX20" s="105"/>
      <c r="CY20" s="105"/>
      <c r="CZ20" s="105"/>
      <c r="DA20" s="105"/>
      <c r="DB20" s="105"/>
      <c r="DC20" s="105"/>
      <c r="DD20" s="105"/>
      <c r="DE20" s="105"/>
      <c r="DF20" s="105"/>
      <c r="DG20" s="105"/>
      <c r="DH20" s="105"/>
      <c r="DI20" s="107"/>
      <c r="DJ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U20" s="107"/>
      <c r="DV20" s="107"/>
      <c r="DW20" s="106"/>
      <c r="DX20" s="128"/>
      <c r="DY20" s="128"/>
      <c r="DZ20" s="128"/>
      <c r="EA20" s="128"/>
      <c r="EB20" s="128"/>
      <c r="EC20" s="128"/>
      <c r="ED20" s="128"/>
      <c r="EE20" s="128"/>
      <c r="EF20" s="128"/>
      <c r="EG20" s="128"/>
      <c r="EH20" s="128"/>
      <c r="EI20" s="128"/>
      <c r="EJ20" s="128"/>
      <c r="EK20" s="128"/>
    </row>
    <row r="21" spans="1:141" x14ac:dyDescent="0.4">
      <c r="A21" s="74">
        <f t="shared" si="0"/>
        <v>5</v>
      </c>
      <c r="B21" s="74">
        <v>17</v>
      </c>
      <c r="C21" s="127">
        <f>DATE(Jaartal,September!$B$3,September!$B21)</f>
        <v>44091</v>
      </c>
      <c r="D21" s="104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6"/>
      <c r="AI21" s="104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6"/>
      <c r="BN21" s="104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6"/>
      <c r="CS21" s="104"/>
      <c r="CT21" s="105"/>
      <c r="CU21" s="105"/>
      <c r="CV21" s="105"/>
      <c r="CW21" s="105"/>
      <c r="CX21" s="105"/>
      <c r="CY21" s="105"/>
      <c r="CZ21" s="105"/>
      <c r="DA21" s="105"/>
      <c r="DB21" s="105"/>
      <c r="DC21" s="105"/>
      <c r="DD21" s="105"/>
      <c r="DE21" s="105"/>
      <c r="DF21" s="105"/>
      <c r="DG21" s="105"/>
      <c r="DH21" s="105"/>
      <c r="DI21" s="107"/>
      <c r="DJ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U21" s="107"/>
      <c r="DV21" s="107"/>
      <c r="DW21" s="106"/>
      <c r="DX21" s="128"/>
      <c r="DY21" s="128"/>
      <c r="DZ21" s="128"/>
      <c r="EA21" s="128"/>
      <c r="EB21" s="128"/>
      <c r="EC21" s="128"/>
      <c r="ED21" s="128"/>
      <c r="EE21" s="128"/>
      <c r="EF21" s="128"/>
      <c r="EG21" s="128"/>
      <c r="EH21" s="128"/>
      <c r="EI21" s="128"/>
      <c r="EJ21" s="128"/>
      <c r="EK21" s="128"/>
    </row>
    <row r="22" spans="1:141" x14ac:dyDescent="0.4">
      <c r="A22" s="74">
        <f t="shared" si="0"/>
        <v>6</v>
      </c>
      <c r="B22" s="74">
        <v>18</v>
      </c>
      <c r="C22" s="127">
        <f>DATE(Jaartal,September!$B$3,September!$B22)</f>
        <v>44092</v>
      </c>
      <c r="D22" s="104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6"/>
      <c r="AI22" s="104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6"/>
      <c r="BN22" s="104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6"/>
      <c r="CS22" s="104"/>
      <c r="CT22" s="105"/>
      <c r="CU22" s="105"/>
      <c r="CV22" s="105"/>
      <c r="CW22" s="105"/>
      <c r="CX22" s="105"/>
      <c r="CY22" s="105"/>
      <c r="CZ22" s="105"/>
      <c r="DA22" s="105"/>
      <c r="DB22" s="105"/>
      <c r="DC22" s="105"/>
      <c r="DD22" s="105"/>
      <c r="DE22" s="105"/>
      <c r="DF22" s="105"/>
      <c r="DG22" s="105"/>
      <c r="DH22" s="105"/>
      <c r="DI22" s="107"/>
      <c r="DJ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U22" s="107"/>
      <c r="DV22" s="107"/>
      <c r="DW22" s="106"/>
      <c r="DX22" s="128"/>
      <c r="DY22" s="128"/>
      <c r="DZ22" s="128"/>
      <c r="EA22" s="128"/>
      <c r="EB22" s="128"/>
      <c r="EC22" s="128"/>
      <c r="ED22" s="128"/>
      <c r="EE22" s="128"/>
      <c r="EF22" s="128"/>
      <c r="EG22" s="128"/>
      <c r="EH22" s="128"/>
      <c r="EI22" s="128"/>
      <c r="EJ22" s="128"/>
      <c r="EK22" s="128"/>
    </row>
    <row r="23" spans="1:141" x14ac:dyDescent="0.4">
      <c r="A23" s="74">
        <f t="shared" si="0"/>
        <v>7</v>
      </c>
      <c r="B23" s="74">
        <v>19</v>
      </c>
      <c r="C23" s="127">
        <f>DATE(Jaartal,September!$B$3,September!$B23)</f>
        <v>44093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6"/>
      <c r="AI23" s="104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6"/>
      <c r="BN23" s="104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7"/>
      <c r="CE23" s="107"/>
      <c r="CF23" s="107"/>
      <c r="CG23" s="107"/>
      <c r="CH23" s="107"/>
      <c r="CI23" s="107"/>
      <c r="CJ23" s="107"/>
      <c r="CK23" s="107"/>
      <c r="CL23" s="107"/>
      <c r="CM23" s="107"/>
      <c r="CN23" s="107"/>
      <c r="CO23" s="107"/>
      <c r="CP23" s="107"/>
      <c r="CQ23" s="107"/>
      <c r="CR23" s="106"/>
      <c r="CS23" s="104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5"/>
      <c r="DH23" s="105"/>
      <c r="DI23" s="107"/>
      <c r="DJ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U23" s="107"/>
      <c r="DV23" s="107"/>
      <c r="DW23" s="106"/>
      <c r="DX23" s="128"/>
      <c r="DY23" s="128"/>
      <c r="DZ23" s="128"/>
      <c r="EA23" s="128"/>
      <c r="EB23" s="128"/>
      <c r="EC23" s="128"/>
      <c r="ED23" s="128"/>
      <c r="EE23" s="128"/>
      <c r="EF23" s="128"/>
      <c r="EG23" s="128"/>
      <c r="EH23" s="128"/>
      <c r="EI23" s="128"/>
      <c r="EJ23" s="128"/>
      <c r="EK23" s="128"/>
    </row>
    <row r="24" spans="1:141" x14ac:dyDescent="0.4">
      <c r="A24" s="74">
        <f t="shared" si="0"/>
        <v>1</v>
      </c>
      <c r="B24" s="74">
        <v>20</v>
      </c>
      <c r="C24" s="127">
        <f>DATE(Jaartal,September!$B$3,September!$B24)</f>
        <v>44094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6"/>
      <c r="AI24" s="104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6"/>
      <c r="BN24" s="104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6"/>
      <c r="DX24" s="128"/>
      <c r="DY24" s="128"/>
      <c r="DZ24" s="128"/>
      <c r="EA24" s="128"/>
      <c r="EB24" s="128"/>
      <c r="EC24" s="128"/>
      <c r="ED24" s="128"/>
      <c r="EE24" s="128"/>
      <c r="EF24" s="128"/>
      <c r="EG24" s="128"/>
      <c r="EH24" s="128"/>
      <c r="EI24" s="128"/>
      <c r="EJ24" s="128"/>
      <c r="EK24" s="128"/>
    </row>
    <row r="25" spans="1:141" x14ac:dyDescent="0.4">
      <c r="A25" s="74">
        <f t="shared" si="0"/>
        <v>2</v>
      </c>
      <c r="B25" s="74">
        <v>21</v>
      </c>
      <c r="C25" s="127">
        <f>DATE(Jaartal,September!$B$3,September!$B25)</f>
        <v>44095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6"/>
      <c r="AI25" s="104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6"/>
      <c r="BN25" s="104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U25" s="107"/>
      <c r="DV25" s="107"/>
      <c r="DW25" s="106"/>
      <c r="DX25" s="128"/>
      <c r="DY25" s="128"/>
      <c r="DZ25" s="128"/>
      <c r="EA25" s="128"/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</row>
    <row r="26" spans="1:141" x14ac:dyDescent="0.4">
      <c r="A26" s="74">
        <f t="shared" si="0"/>
        <v>3</v>
      </c>
      <c r="B26" s="74">
        <v>22</v>
      </c>
      <c r="C26" s="127">
        <f>DATE(Jaartal,September!$B$3,September!$B26)</f>
        <v>44096</v>
      </c>
      <c r="D26" s="104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6"/>
      <c r="AI26" s="104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6"/>
      <c r="BN26" s="104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6"/>
      <c r="CS26" s="104"/>
      <c r="CT26" s="105"/>
      <c r="CU26" s="105"/>
      <c r="CV26" s="105"/>
      <c r="CW26" s="105"/>
      <c r="CX26" s="105"/>
      <c r="CY26" s="105"/>
      <c r="CZ26" s="105"/>
      <c r="DA26" s="105"/>
      <c r="DB26" s="105"/>
      <c r="DC26" s="105"/>
      <c r="DD26" s="105"/>
      <c r="DE26" s="105"/>
      <c r="DF26" s="105"/>
      <c r="DG26" s="105"/>
      <c r="DH26" s="105"/>
      <c r="DI26" s="107"/>
      <c r="DJ26" s="107"/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U26" s="107"/>
      <c r="DV26" s="107"/>
      <c r="DW26" s="106"/>
      <c r="DX26" s="128"/>
      <c r="DY26" s="128"/>
      <c r="DZ26" s="128"/>
      <c r="EA26" s="128"/>
      <c r="EB26" s="128"/>
      <c r="EC26" s="128"/>
      <c r="ED26" s="128"/>
      <c r="EE26" s="128"/>
      <c r="EF26" s="128"/>
      <c r="EG26" s="128"/>
      <c r="EH26" s="128"/>
      <c r="EI26" s="128"/>
      <c r="EJ26" s="128"/>
      <c r="EK26" s="128"/>
    </row>
    <row r="27" spans="1:141" x14ac:dyDescent="0.4">
      <c r="A27" s="74">
        <f t="shared" si="0"/>
        <v>4</v>
      </c>
      <c r="B27" s="74">
        <v>23</v>
      </c>
      <c r="C27" s="127">
        <f>DATE(Jaartal,September!$B$3,September!$B27)</f>
        <v>44097</v>
      </c>
      <c r="D27" s="104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6"/>
      <c r="AI27" s="104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6"/>
      <c r="BN27" s="104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6"/>
      <c r="CS27" s="104"/>
      <c r="CT27" s="105"/>
      <c r="CU27" s="105"/>
      <c r="CV27" s="105"/>
      <c r="CW27" s="105"/>
      <c r="CX27" s="105"/>
      <c r="CY27" s="105"/>
      <c r="CZ27" s="105"/>
      <c r="DA27" s="105"/>
      <c r="DB27" s="105"/>
      <c r="DC27" s="105"/>
      <c r="DD27" s="105"/>
      <c r="DE27" s="105"/>
      <c r="DF27" s="105"/>
      <c r="DG27" s="105"/>
      <c r="DH27" s="105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U27" s="107"/>
      <c r="DV27" s="107"/>
      <c r="DW27" s="106"/>
      <c r="DX27" s="128"/>
      <c r="DY27" s="128"/>
      <c r="DZ27" s="128"/>
      <c r="EA27" s="128"/>
      <c r="EB27" s="128"/>
      <c r="EC27" s="128"/>
      <c r="ED27" s="128"/>
      <c r="EE27" s="128"/>
      <c r="EF27" s="128"/>
      <c r="EG27" s="128"/>
      <c r="EH27" s="128"/>
      <c r="EI27" s="128"/>
      <c r="EJ27" s="128"/>
      <c r="EK27" s="128"/>
    </row>
    <row r="28" spans="1:141" x14ac:dyDescent="0.4">
      <c r="A28" s="74">
        <f t="shared" si="0"/>
        <v>5</v>
      </c>
      <c r="B28" s="74">
        <v>24</v>
      </c>
      <c r="C28" s="127">
        <f>DATE(Jaartal,September!$B$3,September!$B28)</f>
        <v>44098</v>
      </c>
      <c r="D28" s="104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6"/>
      <c r="AI28" s="104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6"/>
      <c r="BN28" s="104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6"/>
      <c r="CS28" s="104"/>
      <c r="CT28" s="105"/>
      <c r="CU28" s="105"/>
      <c r="CV28" s="105"/>
      <c r="CW28" s="105"/>
      <c r="CX28" s="105"/>
      <c r="CY28" s="105"/>
      <c r="CZ28" s="105"/>
      <c r="DA28" s="105"/>
      <c r="DB28" s="105"/>
      <c r="DC28" s="105"/>
      <c r="DD28" s="105"/>
      <c r="DE28" s="105"/>
      <c r="DF28" s="105"/>
      <c r="DG28" s="105"/>
      <c r="DH28" s="105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6"/>
      <c r="DX28" s="128"/>
      <c r="DY28" s="128"/>
      <c r="DZ28" s="128"/>
      <c r="EA28" s="128"/>
      <c r="EB28" s="128"/>
      <c r="EC28" s="128"/>
      <c r="ED28" s="128"/>
      <c r="EE28" s="128"/>
      <c r="EF28" s="128"/>
      <c r="EG28" s="128"/>
      <c r="EH28" s="128"/>
      <c r="EI28" s="128"/>
      <c r="EJ28" s="128"/>
      <c r="EK28" s="128"/>
    </row>
    <row r="29" spans="1:141" x14ac:dyDescent="0.4">
      <c r="A29" s="74">
        <f t="shared" si="0"/>
        <v>6</v>
      </c>
      <c r="B29" s="74">
        <v>25</v>
      </c>
      <c r="C29" s="127">
        <f>DATE(Jaartal,September!$B$3,September!$B29)</f>
        <v>44099</v>
      </c>
      <c r="D29" s="104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6"/>
      <c r="AI29" s="104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6"/>
      <c r="BN29" s="104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6"/>
      <c r="CS29" s="104"/>
      <c r="CT29" s="105"/>
      <c r="CU29" s="105"/>
      <c r="CV29" s="105"/>
      <c r="CW29" s="105"/>
      <c r="CX29" s="105"/>
      <c r="CY29" s="105"/>
      <c r="CZ29" s="105"/>
      <c r="DA29" s="105"/>
      <c r="DB29" s="105"/>
      <c r="DC29" s="105"/>
      <c r="DD29" s="105"/>
      <c r="DE29" s="105"/>
      <c r="DF29" s="105"/>
      <c r="DG29" s="105"/>
      <c r="DH29" s="105"/>
      <c r="DI29" s="107"/>
      <c r="DJ29" s="107"/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U29" s="107"/>
      <c r="DV29" s="107"/>
      <c r="DW29" s="106"/>
      <c r="DX29" s="128"/>
      <c r="DY29" s="128"/>
      <c r="DZ29" s="128"/>
      <c r="EA29" s="128"/>
      <c r="EB29" s="128"/>
      <c r="EC29" s="128"/>
      <c r="ED29" s="128"/>
      <c r="EE29" s="128"/>
      <c r="EF29" s="128"/>
      <c r="EG29" s="128"/>
      <c r="EH29" s="128"/>
      <c r="EI29" s="128"/>
      <c r="EJ29" s="128"/>
      <c r="EK29" s="128"/>
    </row>
    <row r="30" spans="1:141" x14ac:dyDescent="0.4">
      <c r="A30" s="74">
        <f t="shared" si="0"/>
        <v>7</v>
      </c>
      <c r="B30" s="74">
        <v>26</v>
      </c>
      <c r="C30" s="127">
        <f>DATE(Jaartal,September!$B$3,September!$B30)</f>
        <v>44100</v>
      </c>
      <c r="D30" s="104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6"/>
      <c r="AI30" s="104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6"/>
      <c r="BN30" s="104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6"/>
      <c r="CS30" s="104"/>
      <c r="CT30" s="105"/>
      <c r="CU30" s="105"/>
      <c r="CV30" s="105"/>
      <c r="CW30" s="105"/>
      <c r="CX30" s="105"/>
      <c r="CY30" s="105"/>
      <c r="CZ30" s="105"/>
      <c r="DA30" s="105"/>
      <c r="DB30" s="105"/>
      <c r="DC30" s="105"/>
      <c r="DD30" s="105"/>
      <c r="DE30" s="105"/>
      <c r="DF30" s="105"/>
      <c r="DG30" s="105"/>
      <c r="DH30" s="105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U30" s="107"/>
      <c r="DV30" s="107"/>
      <c r="DW30" s="106"/>
      <c r="DX30" s="128"/>
      <c r="DY30" s="128"/>
      <c r="DZ30" s="128"/>
      <c r="EA30" s="128"/>
      <c r="EB30" s="128"/>
      <c r="EC30" s="128"/>
      <c r="ED30" s="128"/>
      <c r="EE30" s="128"/>
      <c r="EF30" s="128"/>
      <c r="EG30" s="128"/>
      <c r="EH30" s="128"/>
      <c r="EI30" s="128"/>
      <c r="EJ30" s="128"/>
      <c r="EK30" s="128"/>
    </row>
    <row r="31" spans="1:141" x14ac:dyDescent="0.4">
      <c r="A31" s="74">
        <f t="shared" si="0"/>
        <v>1</v>
      </c>
      <c r="B31" s="74">
        <v>27</v>
      </c>
      <c r="C31" s="127">
        <f>DATE(Jaartal,September!$B$3,September!$B31)</f>
        <v>44101</v>
      </c>
      <c r="D31" s="104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6"/>
      <c r="AI31" s="104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6"/>
      <c r="BN31" s="104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6"/>
      <c r="CS31" s="104"/>
      <c r="CT31" s="105"/>
      <c r="CU31" s="105"/>
      <c r="CV31" s="105"/>
      <c r="CW31" s="105"/>
      <c r="CX31" s="105"/>
      <c r="CY31" s="105"/>
      <c r="CZ31" s="105"/>
      <c r="DA31" s="105"/>
      <c r="DB31" s="105"/>
      <c r="DC31" s="105"/>
      <c r="DD31" s="105"/>
      <c r="DE31" s="105"/>
      <c r="DF31" s="105"/>
      <c r="DG31" s="105"/>
      <c r="DH31" s="105"/>
      <c r="DI31" s="107"/>
      <c r="DJ31" s="107"/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U31" s="107"/>
      <c r="DV31" s="107"/>
      <c r="DW31" s="106"/>
      <c r="DX31" s="128"/>
      <c r="DY31" s="128"/>
      <c r="DZ31" s="128"/>
      <c r="EA31" s="128"/>
      <c r="EB31" s="128"/>
      <c r="EC31" s="128"/>
      <c r="ED31" s="128"/>
      <c r="EE31" s="128"/>
      <c r="EF31" s="128"/>
      <c r="EG31" s="128"/>
      <c r="EH31" s="128"/>
      <c r="EI31" s="128"/>
      <c r="EJ31" s="128"/>
      <c r="EK31" s="128"/>
    </row>
    <row r="32" spans="1:141" x14ac:dyDescent="0.4">
      <c r="A32" s="74">
        <f t="shared" si="0"/>
        <v>2</v>
      </c>
      <c r="B32" s="74">
        <v>28</v>
      </c>
      <c r="C32" s="127">
        <f>DATE(Jaartal,September!$B$3,September!$B32)</f>
        <v>44102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6"/>
      <c r="AI32" s="104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6"/>
      <c r="BN32" s="104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6"/>
      <c r="CS32" s="104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6"/>
      <c r="DX32" s="128"/>
      <c r="DY32" s="128"/>
      <c r="DZ32" s="128"/>
      <c r="EA32" s="128"/>
      <c r="EB32" s="128"/>
      <c r="EC32" s="128"/>
      <c r="ED32" s="128"/>
      <c r="EE32" s="128"/>
      <c r="EF32" s="128"/>
      <c r="EG32" s="128"/>
      <c r="EH32" s="128"/>
      <c r="EI32" s="128"/>
      <c r="EJ32" s="128"/>
      <c r="EK32" s="128"/>
    </row>
    <row r="33" spans="1:141" x14ac:dyDescent="0.4">
      <c r="A33" s="74">
        <f t="shared" si="0"/>
        <v>3</v>
      </c>
      <c r="B33" s="74">
        <v>29</v>
      </c>
      <c r="C33" s="127">
        <f>DATE(Jaartal,September!$B$3,September!$B33)</f>
        <v>44103</v>
      </c>
      <c r="D33" s="104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6"/>
      <c r="AI33" s="104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6"/>
      <c r="BN33" s="104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6"/>
      <c r="CS33" s="104"/>
      <c r="CT33" s="105"/>
      <c r="CU33" s="105"/>
      <c r="CV33" s="105"/>
      <c r="CW33" s="105"/>
      <c r="CX33" s="105"/>
      <c r="CY33" s="105"/>
      <c r="CZ33" s="105"/>
      <c r="DA33" s="105"/>
      <c r="DB33" s="105"/>
      <c r="DC33" s="105"/>
      <c r="DD33" s="105"/>
      <c r="DE33" s="105"/>
      <c r="DF33" s="105"/>
      <c r="DG33" s="105"/>
      <c r="DH33" s="105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6"/>
      <c r="DX33" s="128"/>
      <c r="DY33" s="128"/>
      <c r="DZ33" s="128"/>
      <c r="EA33" s="128"/>
      <c r="EB33" s="128"/>
      <c r="EC33" s="128"/>
      <c r="ED33" s="128"/>
      <c r="EE33" s="128"/>
      <c r="EF33" s="128"/>
      <c r="EG33" s="128"/>
      <c r="EH33" s="128"/>
      <c r="EI33" s="128"/>
      <c r="EJ33" s="128"/>
      <c r="EK33" s="128"/>
    </row>
    <row r="34" spans="1:141" x14ac:dyDescent="0.4">
      <c r="A34" s="74">
        <f t="shared" si="0"/>
        <v>4</v>
      </c>
      <c r="B34" s="74">
        <v>30</v>
      </c>
      <c r="C34" s="127">
        <f>DATE(Jaartal,September!$B$3,September!$B34)</f>
        <v>44104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6"/>
      <c r="AI34" s="104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6"/>
      <c r="BN34" s="104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6"/>
      <c r="CS34" s="104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5"/>
      <c r="DH34" s="105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6"/>
      <c r="DX34" s="128"/>
      <c r="DY34" s="128"/>
      <c r="DZ34" s="128"/>
      <c r="EA34" s="128"/>
      <c r="EB34" s="128"/>
      <c r="EC34" s="128"/>
      <c r="ED34" s="128"/>
      <c r="EE34" s="128"/>
      <c r="EF34" s="128"/>
      <c r="EG34" s="128"/>
      <c r="EH34" s="128"/>
      <c r="EI34" s="128"/>
      <c r="EJ34" s="128"/>
      <c r="EK34" s="128"/>
    </row>
    <row r="35" spans="1:141" x14ac:dyDescent="0.4">
      <c r="A35" s="74">
        <f t="shared" si="0"/>
        <v>5</v>
      </c>
      <c r="B35" s="74">
        <v>31</v>
      </c>
      <c r="C35" s="127">
        <f>DATE(Jaartal,September!$B$3,September!$B35)</f>
        <v>44105</v>
      </c>
      <c r="D35" s="104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6"/>
      <c r="AI35" s="104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6"/>
      <c r="BN35" s="104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6"/>
      <c r="CS35" s="108"/>
      <c r="CT35" s="105"/>
      <c r="CU35" s="105"/>
      <c r="CV35" s="105"/>
      <c r="CW35" s="105"/>
      <c r="CX35" s="105"/>
      <c r="CY35" s="105"/>
      <c r="CZ35" s="105"/>
      <c r="DA35" s="105"/>
      <c r="DB35" s="105"/>
      <c r="DC35" s="105"/>
      <c r="DD35" s="105"/>
      <c r="DE35" s="105"/>
      <c r="DF35" s="105"/>
      <c r="DG35" s="105"/>
      <c r="DH35" s="105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6"/>
      <c r="DX35" s="128"/>
      <c r="DY35" s="128"/>
      <c r="DZ35" s="128"/>
      <c r="EA35" s="128"/>
      <c r="EB35" s="128"/>
      <c r="EC35" s="128"/>
      <c r="ED35" s="128"/>
      <c r="EE35" s="128"/>
      <c r="EF35" s="128"/>
      <c r="EG35" s="128"/>
      <c r="EH35" s="128"/>
      <c r="EI35" s="128"/>
      <c r="EJ35" s="128"/>
      <c r="EK35" s="128"/>
    </row>
    <row r="36" spans="1:141" x14ac:dyDescent="0.4">
      <c r="BR36" s="128"/>
      <c r="BS36" s="128"/>
      <c r="BT36" s="128"/>
      <c r="BU36" s="128"/>
      <c r="BV36" s="128"/>
      <c r="BY36" s="128"/>
      <c r="BZ36" s="128"/>
      <c r="CB36" s="128"/>
      <c r="CC36" s="128"/>
      <c r="CD36" s="128"/>
      <c r="CE36" s="128"/>
      <c r="CF36" s="128"/>
      <c r="CG36" s="128"/>
      <c r="CH36" s="128"/>
      <c r="CI36" s="128"/>
      <c r="CJ36" s="128"/>
      <c r="CK36" s="128"/>
      <c r="CL36" s="128"/>
      <c r="CM36" s="128"/>
      <c r="CN36" s="128"/>
      <c r="CO36" s="128"/>
      <c r="CP36" s="128"/>
      <c r="CQ36" s="128"/>
      <c r="CW36" s="128"/>
      <c r="CX36" s="128"/>
      <c r="CY36" s="128"/>
      <c r="CZ36" s="128"/>
      <c r="DA36" s="128"/>
      <c r="DD36" s="128"/>
      <c r="DE36" s="128"/>
      <c r="DG36" s="128"/>
      <c r="DH36" s="128"/>
      <c r="DI36" s="128"/>
      <c r="DJ36" s="128"/>
      <c r="DK36" s="128"/>
      <c r="DL36" s="128"/>
      <c r="DM36" s="128"/>
      <c r="DN36" s="128"/>
      <c r="DO36" s="128"/>
      <c r="DP36" s="128"/>
      <c r="DQ36" s="128"/>
      <c r="DR36" s="128"/>
      <c r="DS36" s="128"/>
      <c r="DT36" s="128"/>
      <c r="DU36" s="128"/>
      <c r="DV36" s="128"/>
    </row>
    <row r="38" spans="1:141" ht="13.5" thickBot="1" x14ac:dyDescent="0.45"/>
    <row r="39" spans="1:141" ht="13.5" thickBot="1" x14ac:dyDescent="0.45">
      <c r="D39" s="109" t="s">
        <v>7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1"/>
    </row>
    <row r="40" spans="1:141" ht="13.5" thickBot="1" x14ac:dyDescent="0.45">
      <c r="D40" s="112">
        <v>1</v>
      </c>
      <c r="E40" s="113" t="s">
        <v>4</v>
      </c>
      <c r="F40" s="113"/>
      <c r="G40" s="113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5"/>
    </row>
    <row r="41" spans="1:141" ht="13.5" thickBot="1" x14ac:dyDescent="0.45">
      <c r="D41" s="116">
        <v>2</v>
      </c>
      <c r="E41" s="117" t="s">
        <v>79</v>
      </c>
      <c r="F41" s="117"/>
      <c r="G41" s="117"/>
      <c r="H41" s="117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9"/>
    </row>
    <row r="42" spans="1:141" ht="13.5" thickBot="1" x14ac:dyDescent="0.45">
      <c r="D42" s="120">
        <v>3</v>
      </c>
      <c r="E42" s="117" t="s">
        <v>66</v>
      </c>
      <c r="F42" s="117"/>
      <c r="G42" s="117"/>
      <c r="H42" s="117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9"/>
    </row>
    <row r="43" spans="1:141" ht="13.5" thickBot="1" x14ac:dyDescent="0.45">
      <c r="D43" s="121"/>
      <c r="E43" s="122" t="s">
        <v>80</v>
      </c>
      <c r="F43" s="122"/>
      <c r="G43" s="122"/>
      <c r="H43" s="12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4"/>
    </row>
    <row r="44" spans="1:141" x14ac:dyDescent="0.4">
      <c r="D44" s="129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1"/>
      <c r="AI44" s="131"/>
      <c r="AR44" s="130"/>
      <c r="AS44" s="130"/>
      <c r="AV44" s="130"/>
      <c r="BW44" s="130"/>
      <c r="BX44" s="130"/>
      <c r="CA44" s="130"/>
      <c r="DB44" s="130"/>
      <c r="DC44" s="130"/>
      <c r="DF44" s="130"/>
    </row>
    <row r="52" spans="33:34" x14ac:dyDescent="0.4">
      <c r="AG52" s="128"/>
      <c r="AH52" s="128"/>
    </row>
    <row r="53" spans="33:34" x14ac:dyDescent="0.4">
      <c r="AG53" s="128"/>
      <c r="AH53" s="128"/>
    </row>
    <row r="54" spans="33:34" x14ac:dyDescent="0.4">
      <c r="AG54" s="128"/>
      <c r="AH54" s="128"/>
    </row>
    <row r="55" spans="33:34" x14ac:dyDescent="0.4">
      <c r="AG55" s="128"/>
      <c r="AH55" s="128"/>
    </row>
    <row r="56" spans="33:34" x14ac:dyDescent="0.4">
      <c r="AG56" s="128"/>
      <c r="AH56" s="128"/>
    </row>
  </sheetData>
  <sheetProtection sheet="1" objects="1" scenarios="1" selectLockedCells="1"/>
  <mergeCells count="13">
    <mergeCell ref="D39:AI39"/>
    <mergeCell ref="E40:AI40"/>
    <mergeCell ref="E41:AI41"/>
    <mergeCell ref="E42:AI42"/>
    <mergeCell ref="E43:AI43"/>
    <mergeCell ref="D1:AH1"/>
    <mergeCell ref="AI1:BM1"/>
    <mergeCell ref="BN1:CR1"/>
    <mergeCell ref="CS1:DW1"/>
    <mergeCell ref="AH3:AH4"/>
    <mergeCell ref="BM3:BM4"/>
    <mergeCell ref="CR3:CR4"/>
    <mergeCell ref="DW3:DW4"/>
  </mergeCells>
  <conditionalFormatting sqref="D5:L35 O5:P35 AT5:AU35 BY5:BZ35 DD5:DE35 R5:AQ35 AW5:BV35 CB5:DA35 DG5:DW35">
    <cfRule type="expression" dxfId="175" priority="33" stopIfTrue="1">
      <formula>D5=3</formula>
    </cfRule>
    <cfRule type="expression" dxfId="174" priority="34" stopIfTrue="1">
      <formula>D5=2</formula>
    </cfRule>
    <cfRule type="expression" dxfId="173" priority="35" stopIfTrue="1">
      <formula>D5=1</formula>
    </cfRule>
    <cfRule type="expression" dxfId="172" priority="36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171" priority="29" stopIfTrue="1">
      <formula>M5=3</formula>
    </cfRule>
    <cfRule type="expression" dxfId="170" priority="30" stopIfTrue="1">
      <formula>M5=2</formula>
    </cfRule>
    <cfRule type="expression" dxfId="169" priority="31" stopIfTrue="1">
      <formula>M5=1</formula>
    </cfRule>
    <cfRule type="expression" dxfId="168" priority="32" stopIfTrue="1">
      <formula>IF($A5=1,1,IF($A5=7,1,IF(M$2="Q",IF($A5=2,IF($B5&lt;8,IF(MOD($B$3,3)&lt;&gt;0,1,0),1),1),IF(M$2="M",IF($A5=2,IF($B5&gt;7,1,0),1),IF(M$2="W",IF($A5=2,0,1),0)))))</formula>
    </cfRule>
  </conditionalFormatting>
  <conditionalFormatting sqref="AR5:AS35">
    <cfRule type="expression" dxfId="167" priority="25" stopIfTrue="1">
      <formula>AR5=3</formula>
    </cfRule>
    <cfRule type="expression" dxfId="166" priority="26" stopIfTrue="1">
      <formula>AR5=2</formula>
    </cfRule>
    <cfRule type="expression" dxfId="165" priority="27" stopIfTrue="1">
      <formula>AR5=1</formula>
    </cfRule>
    <cfRule type="expression" dxfId="164" priority="28" stopIfTrue="1">
      <formula>IF($A5=1,1,IF($A5=7,1,IF(AR$2="Q",IF($A5=2,IF($B5&lt;8,IF(MOD($B$3,3)&lt;&gt;0,1,0),1),1),IF(AR$2="M",IF($A5=2,IF($B5&gt;7,1,0),1),IF(AR$2="W",IF($A5=2,0,1),0)))))</formula>
    </cfRule>
  </conditionalFormatting>
  <conditionalFormatting sqref="BW5:BX35">
    <cfRule type="expression" dxfId="163" priority="21" stopIfTrue="1">
      <formula>BW5=3</formula>
    </cfRule>
    <cfRule type="expression" dxfId="162" priority="22" stopIfTrue="1">
      <formula>BW5=2</formula>
    </cfRule>
    <cfRule type="expression" dxfId="161" priority="23" stopIfTrue="1">
      <formula>BW5=1</formula>
    </cfRule>
    <cfRule type="expression" dxfId="160" priority="24" stopIfTrue="1">
      <formula>IF($A5=1,1,IF($A5=7,1,IF(BW$2="Q",IF($A5=2,IF($B5&lt;8,IF(MOD($B$3,3)&lt;&gt;0,1,0),1),1),IF(BW$2="M",IF($A5=2,IF($B5&gt;7,1,0),1),IF(BW$2="W",IF($A5=2,0,1),0)))))</formula>
    </cfRule>
  </conditionalFormatting>
  <conditionalFormatting sqref="DB5:DC35">
    <cfRule type="expression" dxfId="159" priority="17" stopIfTrue="1">
      <formula>DB5=3</formula>
    </cfRule>
    <cfRule type="expression" dxfId="158" priority="18" stopIfTrue="1">
      <formula>DB5=2</formula>
    </cfRule>
    <cfRule type="expression" dxfId="157" priority="19" stopIfTrue="1">
      <formula>DB5=1</formula>
    </cfRule>
    <cfRule type="expression" dxfId="156" priority="20" stopIfTrue="1">
      <formula>IF($A5=1,1,IF($A5=7,1,IF(DB$2="Q",IF($A5=2,IF($B5&lt;8,IF(MOD($B$3,3)&lt;&gt;0,1,0),1),1),IF(DB$2="M",IF($A5=2,IF($B5&gt;7,1,0),1),IF(DB$2="W",IF($A5=2,0,1),0)))))</formula>
    </cfRule>
  </conditionalFormatting>
  <conditionalFormatting sqref="Q5:Q35">
    <cfRule type="expression" dxfId="155" priority="13" stopIfTrue="1">
      <formula>Q5=3</formula>
    </cfRule>
    <cfRule type="expression" dxfId="154" priority="14" stopIfTrue="1">
      <formula>Q5=2</formula>
    </cfRule>
    <cfRule type="expression" dxfId="153" priority="15" stopIfTrue="1">
      <formula>Q5=1</formula>
    </cfRule>
    <cfRule type="expression" dxfId="152" priority="16" stopIfTrue="1">
      <formula>IF($A5=1,1,IF($A5=7,1,IF(Q$2="Q",IF($A5=2,IF($B5&lt;8,IF(MOD($B$3,3)&lt;&gt;0,1,0),1),1),IF(Q$2="M",IF($A5=2,IF($B5&gt;7,1,0),1),IF(Q$2="W",IF($A5=2,0,1),0)))))</formula>
    </cfRule>
  </conditionalFormatting>
  <conditionalFormatting sqref="AV5:AV35">
    <cfRule type="expression" dxfId="151" priority="9" stopIfTrue="1">
      <formula>AV5=3</formula>
    </cfRule>
    <cfRule type="expression" dxfId="150" priority="10" stopIfTrue="1">
      <formula>AV5=2</formula>
    </cfRule>
    <cfRule type="expression" dxfId="149" priority="11" stopIfTrue="1">
      <formula>AV5=1</formula>
    </cfRule>
    <cfRule type="expression" dxfId="148" priority="12" stopIfTrue="1">
      <formula>IF($A5=1,1,IF($A5=7,1,IF(AV$2="Q",IF($A5=2,IF($B5&lt;8,IF(MOD($B$3,3)&lt;&gt;0,1,0),1),1),IF(AV$2="M",IF($A5=2,IF($B5&gt;7,1,0),1),IF(AV$2="W",IF($A5=2,0,1),0)))))</formula>
    </cfRule>
  </conditionalFormatting>
  <conditionalFormatting sqref="CA5:CA35">
    <cfRule type="expression" dxfId="147" priority="5" stopIfTrue="1">
      <formula>CA5=3</formula>
    </cfRule>
    <cfRule type="expression" dxfId="146" priority="6" stopIfTrue="1">
      <formula>CA5=2</formula>
    </cfRule>
    <cfRule type="expression" dxfId="145" priority="7" stopIfTrue="1">
      <formula>CA5=1</formula>
    </cfRule>
    <cfRule type="expression" dxfId="144" priority="8" stopIfTrue="1">
      <formula>IF($A5=1,1,IF($A5=7,1,IF(CA$2="Q",IF($A5=2,IF($B5&lt;8,IF(MOD($B$3,3)&lt;&gt;0,1,0),1),1),IF(CA$2="M",IF($A5=2,IF($B5&gt;7,1,0),1),IF(CA$2="W",IF($A5=2,0,1),0)))))</formula>
    </cfRule>
  </conditionalFormatting>
  <conditionalFormatting sqref="DF5:DF35">
    <cfRule type="expression" dxfId="143" priority="1" stopIfTrue="1">
      <formula>DF5=3</formula>
    </cfRule>
    <cfRule type="expression" dxfId="142" priority="2" stopIfTrue="1">
      <formula>DF5=2</formula>
    </cfRule>
    <cfRule type="expression" dxfId="141" priority="3" stopIfTrue="1">
      <formula>DF5=1</formula>
    </cfRule>
    <cfRule type="expression" dxfId="140" priority="4" stopIfTrue="1">
      <formula>IF($A5=1,1,IF($A5=7,1,IF(DF$2="Q",IF($A5=2,IF($B5&lt;8,IF(MOD($B$3,3)&lt;&gt;0,1,0),1),1),IF(DF$2="M",IF($A5=2,IF($B5&gt;7,1,0),1),IF(DF$2="W",IF($A5=2,0,1),0)))))</formula>
    </cfRule>
  </conditionalFormatting>
  <dataValidations count="4">
    <dataValidation type="list" allowBlank="1" showInputMessage="1" showErrorMessage="1" sqref="BN5:CQ35 D5:AG35 AI5:BL35 CS5:DV35" xr:uid="{8958928E-6CB5-4E16-8EEC-8CA41AF0ADFF}">
      <formula1>Status</formula1>
    </dataValidation>
    <dataValidation type="list" allowBlank="1" showInputMessage="1" showErrorMessage="1" sqref="C3" xr:uid="{0C5F611B-9EFE-403A-952D-BE993DD8FE48}">
      <formula1>List_Maanden</formula1>
    </dataValidation>
    <dataValidation type="list" allowBlank="1" showInputMessage="1" showErrorMessage="1" sqref="DW5:DW35 CR5:CR35 BM5:BM35 AH5:AH35" xr:uid="{D4550948-335E-49BB-9178-72F213FDBB17}">
      <formula1>List_Personen</formula1>
    </dataValidation>
    <dataValidation type="list" allowBlank="1" showInputMessage="1" showErrorMessage="1" sqref="DB2:DC2 AR2:AS2 BW2:BX2 D2:AG2 AV2 CA2 DF2" xr:uid="{50C3DD07-EF59-4019-B7CF-D0CCABB9EBBF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CF23B-5656-4FA2-8DB0-3E1AD1FF1941}">
  <sheetPr codeName="Sheet10"/>
  <dimension ref="A1:EK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3.15" x14ac:dyDescent="0.4"/>
  <cols>
    <col min="1" max="1" width="8.796875" style="74" hidden="1" customWidth="1"/>
    <col min="2" max="2" width="4.265625" style="74" hidden="1" customWidth="1"/>
    <col min="3" max="3" width="25.73046875" style="74" bestFit="1" customWidth="1"/>
    <col min="4" max="5" width="3.19921875" style="74" bestFit="1" customWidth="1"/>
    <col min="6" max="8" width="3.19921875" style="74" customWidth="1"/>
    <col min="9" max="10" width="3.19921875" style="74" bestFit="1" customWidth="1"/>
    <col min="11" max="18" width="3.19921875" style="74" customWidth="1"/>
    <col min="19" max="19" width="3.19921875" style="74" bestFit="1" customWidth="1"/>
    <col min="20" max="24" width="3.19921875" style="74" customWidth="1"/>
    <col min="25" max="25" width="3.19921875" style="74" bestFit="1" customWidth="1"/>
    <col min="26" max="32" width="3.19921875" style="74" customWidth="1"/>
    <col min="33" max="33" width="2.73046875" style="74" bestFit="1" customWidth="1"/>
    <col min="34" max="34" width="14" style="74" bestFit="1" customWidth="1"/>
    <col min="35" max="39" width="3.19921875" style="74" bestFit="1" customWidth="1"/>
    <col min="40" max="46" width="3.19921875" style="74" customWidth="1"/>
    <col min="47" max="47" width="3.19921875" style="74" bestFit="1" customWidth="1"/>
    <col min="48" max="48" width="3.19921875" style="74" customWidth="1"/>
    <col min="49" max="49" width="3.19921875" style="74" bestFit="1" customWidth="1"/>
    <col min="50" max="50" width="2.73046875" style="74" bestFit="1" customWidth="1"/>
    <col min="51" max="64" width="2.73046875" style="74" customWidth="1"/>
    <col min="65" max="65" width="14" style="74" bestFit="1" customWidth="1"/>
    <col min="66" max="70" width="3.19921875" style="74" bestFit="1" customWidth="1"/>
    <col min="71" max="77" width="3.19921875" style="74" customWidth="1"/>
    <col min="78" max="78" width="3.19921875" style="74" bestFit="1" customWidth="1"/>
    <col min="79" max="79" width="3.19921875" style="74" customWidth="1"/>
    <col min="80" max="80" width="3.19921875" style="74" bestFit="1" customWidth="1"/>
    <col min="81" max="81" width="2.73046875" style="74" bestFit="1" customWidth="1"/>
    <col min="82" max="95" width="2.73046875" style="74" customWidth="1"/>
    <col min="96" max="96" width="14" style="74" bestFit="1" customWidth="1"/>
    <col min="97" max="102" width="3.19921875" style="74" bestFit="1" customWidth="1"/>
    <col min="103" max="110" width="3.19921875" style="74" customWidth="1"/>
    <col min="111" max="111" width="3.19921875" style="74" bestFit="1" customWidth="1"/>
    <col min="112" max="112" width="2.73046875" style="74" bestFit="1" customWidth="1"/>
    <col min="113" max="126" width="2.73046875" style="74" customWidth="1"/>
    <col min="127" max="127" width="14" style="74" bestFit="1" customWidth="1"/>
    <col min="128" max="128" width="6" style="74" customWidth="1"/>
    <col min="129" max="16384" width="9.06640625" style="74"/>
  </cols>
  <sheetData>
    <row r="1" spans="1:141" ht="18.399999999999999" thickBot="1" x14ac:dyDescent="0.6">
      <c r="C1" s="75" t="s">
        <v>5</v>
      </c>
      <c r="D1" s="76" t="s">
        <v>44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8"/>
      <c r="AI1" s="79" t="s">
        <v>45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1"/>
      <c r="BN1" s="82" t="s">
        <v>46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4"/>
      <c r="CS1" s="85" t="s">
        <v>47</v>
      </c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7"/>
    </row>
    <row r="2" spans="1:141" ht="13.5" thickBot="1" x14ac:dyDescent="0.45">
      <c r="A2" s="74" t="s">
        <v>13</v>
      </c>
      <c r="B2" s="74" t="s">
        <v>14</v>
      </c>
      <c r="C2" s="88" t="s">
        <v>3</v>
      </c>
      <c r="D2" s="89" t="str">
        <f>+Template!D2</f>
        <v>D</v>
      </c>
      <c r="E2" s="90" t="str">
        <f>+Template!E2</f>
        <v>D</v>
      </c>
      <c r="F2" s="90" t="str">
        <f>+Template!F2</f>
        <v>D</v>
      </c>
      <c r="G2" s="90" t="str">
        <f>+Template!G2</f>
        <v>D</v>
      </c>
      <c r="H2" s="90" t="str">
        <f>+Template!H2</f>
        <v>D</v>
      </c>
      <c r="I2" s="91" t="str">
        <f>+Template!I2</f>
        <v>D</v>
      </c>
      <c r="J2" s="91" t="str">
        <f>+Template!J2</f>
        <v>D</v>
      </c>
      <c r="K2" s="91" t="str">
        <f>+Template!K2</f>
        <v>D</v>
      </c>
      <c r="L2" s="91" t="str">
        <f>+Template!L2</f>
        <v>D</v>
      </c>
      <c r="M2" s="91" t="s">
        <v>2</v>
      </c>
      <c r="N2" s="91" t="s">
        <v>2</v>
      </c>
      <c r="O2" s="91" t="str">
        <f>+Template!O2</f>
        <v>D</v>
      </c>
      <c r="P2" s="91" t="str">
        <f>+Template!P2</f>
        <v>D</v>
      </c>
      <c r="Q2" s="91" t="s">
        <v>2</v>
      </c>
      <c r="R2" s="91" t="str">
        <f>+Template!R2</f>
        <v>D</v>
      </c>
      <c r="S2" s="91" t="str">
        <f>+Template!S2</f>
        <v>D</v>
      </c>
      <c r="T2" s="91" t="str">
        <f>+Template!T2</f>
        <v>D</v>
      </c>
      <c r="U2" s="91" t="str">
        <f>+Template!U2</f>
        <v>D</v>
      </c>
      <c r="V2" s="91" t="str">
        <f>+Template!V2</f>
        <v>D</v>
      </c>
      <c r="W2" s="91" t="str">
        <f>+Template!W2</f>
        <v>D</v>
      </c>
      <c r="X2" s="91" t="str">
        <f>+Template!X2</f>
        <v>W</v>
      </c>
      <c r="Y2" s="91" t="str">
        <f>+Template!Y2</f>
        <v>W</v>
      </c>
      <c r="Z2" s="91" t="str">
        <f>+Template!Z2</f>
        <v>W</v>
      </c>
      <c r="AA2" s="91" t="str">
        <f>+Template!AA2</f>
        <v>W</v>
      </c>
      <c r="AB2" s="91" t="str">
        <f>+Template!AB2</f>
        <v>M</v>
      </c>
      <c r="AC2" s="91" t="str">
        <f>+Template!AC2</f>
        <v>M</v>
      </c>
      <c r="AD2" s="91" t="str">
        <f>+Template!AD2</f>
        <v>M</v>
      </c>
      <c r="AE2" s="91" t="str">
        <f>+Template!AE2</f>
        <v>M</v>
      </c>
      <c r="AF2" s="91" t="str">
        <f>+Template!AF2</f>
        <v>Q</v>
      </c>
      <c r="AG2" s="91" t="str">
        <f>+Template!AG2</f>
        <v>Q</v>
      </c>
      <c r="AH2" s="92"/>
      <c r="AI2" s="89" t="str">
        <f>+Template!D2</f>
        <v>D</v>
      </c>
      <c r="AJ2" s="90" t="str">
        <f>+Template!E2</f>
        <v>D</v>
      </c>
      <c r="AK2" s="90" t="str">
        <f>+Template!F2</f>
        <v>D</v>
      </c>
      <c r="AL2" s="90" t="str">
        <f>+Template!G2</f>
        <v>D</v>
      </c>
      <c r="AM2" s="90" t="str">
        <f>+Template!H2</f>
        <v>D</v>
      </c>
      <c r="AN2" s="90" t="str">
        <f>+Template!I2</f>
        <v>D</v>
      </c>
      <c r="AO2" s="90" t="str">
        <f>+Template!J2</f>
        <v>D</v>
      </c>
      <c r="AP2" s="90" t="str">
        <f>+Template!K2</f>
        <v>D</v>
      </c>
      <c r="AQ2" s="90" t="str">
        <f>+Template!L2</f>
        <v>D</v>
      </c>
      <c r="AR2" s="91" t="s">
        <v>2</v>
      </c>
      <c r="AS2" s="91" t="s">
        <v>2</v>
      </c>
      <c r="AT2" s="90" t="str">
        <f>+Template!O2</f>
        <v>D</v>
      </c>
      <c r="AU2" s="91" t="str">
        <f>+Template!P2</f>
        <v>D</v>
      </c>
      <c r="AV2" s="91" t="s">
        <v>2</v>
      </c>
      <c r="AW2" s="91" t="str">
        <f>+Template!R2</f>
        <v>D</v>
      </c>
      <c r="AX2" s="91" t="str">
        <f>+Template!S2</f>
        <v>D</v>
      </c>
      <c r="AY2" s="91" t="str">
        <f>+Template!T2</f>
        <v>D</v>
      </c>
      <c r="AZ2" s="91" t="str">
        <f>+Template!U2</f>
        <v>D</v>
      </c>
      <c r="BA2" s="91" t="str">
        <f>+Template!V2</f>
        <v>D</v>
      </c>
      <c r="BB2" s="91" t="str">
        <f>+Template!W2</f>
        <v>D</v>
      </c>
      <c r="BC2" s="91" t="str">
        <f>+Template!X2</f>
        <v>W</v>
      </c>
      <c r="BD2" s="91" t="str">
        <f>+Template!Y2</f>
        <v>W</v>
      </c>
      <c r="BE2" s="91" t="str">
        <f>+Template!Z2</f>
        <v>W</v>
      </c>
      <c r="BF2" s="91" t="str">
        <f>+Template!AA2</f>
        <v>W</v>
      </c>
      <c r="BG2" s="91" t="str">
        <f>+Template!AB2</f>
        <v>M</v>
      </c>
      <c r="BH2" s="91" t="str">
        <f>+Template!AC2</f>
        <v>M</v>
      </c>
      <c r="BI2" s="91" t="str">
        <f>+Template!AD2</f>
        <v>M</v>
      </c>
      <c r="BJ2" s="91" t="str">
        <f>+Template!AE2</f>
        <v>M</v>
      </c>
      <c r="BK2" s="91" t="str">
        <f>+Template!AF2</f>
        <v>Q</v>
      </c>
      <c r="BL2" s="91" t="str">
        <f>+Template!AG2</f>
        <v>Q</v>
      </c>
      <c r="BM2" s="92"/>
      <c r="BN2" s="89" t="str">
        <f>+Template!D2</f>
        <v>D</v>
      </c>
      <c r="BO2" s="90" t="str">
        <f>+Template!E2</f>
        <v>D</v>
      </c>
      <c r="BP2" s="90" t="str">
        <f>+Template!F2</f>
        <v>D</v>
      </c>
      <c r="BQ2" s="90" t="str">
        <f>+Template!G2</f>
        <v>D</v>
      </c>
      <c r="BR2" s="90" t="str">
        <f>+Template!H2</f>
        <v>D</v>
      </c>
      <c r="BS2" s="90" t="str">
        <f>+Template!I2</f>
        <v>D</v>
      </c>
      <c r="BT2" s="90" t="str">
        <f>+Template!J2</f>
        <v>D</v>
      </c>
      <c r="BU2" s="90" t="str">
        <f>+Template!K2</f>
        <v>D</v>
      </c>
      <c r="BV2" s="90" t="str">
        <f>+Template!L2</f>
        <v>D</v>
      </c>
      <c r="BW2" s="91" t="s">
        <v>2</v>
      </c>
      <c r="BX2" s="91" t="s">
        <v>2</v>
      </c>
      <c r="BY2" s="90" t="str">
        <f>+Template!O2</f>
        <v>D</v>
      </c>
      <c r="BZ2" s="91" t="str">
        <f>+Template!P2</f>
        <v>D</v>
      </c>
      <c r="CA2" s="91" t="s">
        <v>2</v>
      </c>
      <c r="CB2" s="91" t="str">
        <f>+Template!R2</f>
        <v>D</v>
      </c>
      <c r="CC2" s="91" t="str">
        <f>+Template!S2</f>
        <v>D</v>
      </c>
      <c r="CD2" s="91" t="str">
        <f>+Template!T2</f>
        <v>D</v>
      </c>
      <c r="CE2" s="91" t="str">
        <f>+Template!U2</f>
        <v>D</v>
      </c>
      <c r="CF2" s="91" t="str">
        <f>+Template!V2</f>
        <v>D</v>
      </c>
      <c r="CG2" s="91" t="str">
        <f>+Template!W2</f>
        <v>D</v>
      </c>
      <c r="CH2" s="91" t="str">
        <f>+Template!X2</f>
        <v>W</v>
      </c>
      <c r="CI2" s="91" t="str">
        <f>+Template!Y2</f>
        <v>W</v>
      </c>
      <c r="CJ2" s="91" t="str">
        <f>+Template!Z2</f>
        <v>W</v>
      </c>
      <c r="CK2" s="91" t="str">
        <f>+Template!AA2</f>
        <v>W</v>
      </c>
      <c r="CL2" s="91" t="str">
        <f>+Template!AB2</f>
        <v>M</v>
      </c>
      <c r="CM2" s="91" t="str">
        <f>+Template!AC2</f>
        <v>M</v>
      </c>
      <c r="CN2" s="91" t="str">
        <f>+Template!AD2</f>
        <v>M</v>
      </c>
      <c r="CO2" s="91" t="str">
        <f>+Template!AE2</f>
        <v>M</v>
      </c>
      <c r="CP2" s="91" t="str">
        <f>+Template!AF2</f>
        <v>Q</v>
      </c>
      <c r="CQ2" s="91" t="str">
        <f>+Template!AG2</f>
        <v>Q</v>
      </c>
      <c r="CR2" s="92"/>
      <c r="CS2" s="89" t="str">
        <f>+Template!D2</f>
        <v>D</v>
      </c>
      <c r="CT2" s="90" t="str">
        <f>+Template!E2</f>
        <v>D</v>
      </c>
      <c r="CU2" s="90" t="str">
        <f>+Template!F2</f>
        <v>D</v>
      </c>
      <c r="CV2" s="90" t="str">
        <f>+Template!G2</f>
        <v>D</v>
      </c>
      <c r="CW2" s="90" t="str">
        <f>+Template!H2</f>
        <v>D</v>
      </c>
      <c r="CX2" s="91" t="str">
        <f>+Template!I2</f>
        <v>D</v>
      </c>
      <c r="CY2" s="91" t="str">
        <f>+Template!J2</f>
        <v>D</v>
      </c>
      <c r="CZ2" s="91" t="str">
        <f>+Template!K2</f>
        <v>D</v>
      </c>
      <c r="DA2" s="91" t="str">
        <f>+Template!L2</f>
        <v>D</v>
      </c>
      <c r="DB2" s="91" t="s">
        <v>2</v>
      </c>
      <c r="DC2" s="91" t="s">
        <v>2</v>
      </c>
      <c r="DD2" s="91" t="str">
        <f>+Template!O2</f>
        <v>D</v>
      </c>
      <c r="DE2" s="91" t="str">
        <f>+Template!P2</f>
        <v>D</v>
      </c>
      <c r="DF2" s="91" t="s">
        <v>2</v>
      </c>
      <c r="DG2" s="91" t="str">
        <f>+Template!R2</f>
        <v>D</v>
      </c>
      <c r="DH2" s="91" t="str">
        <f>+Template!S2</f>
        <v>D</v>
      </c>
      <c r="DI2" s="91" t="str">
        <f>+Template!T2</f>
        <v>D</v>
      </c>
      <c r="DJ2" s="91" t="str">
        <f>+Template!U2</f>
        <v>D</v>
      </c>
      <c r="DK2" s="91" t="str">
        <f>+Template!V2</f>
        <v>D</v>
      </c>
      <c r="DL2" s="91" t="str">
        <f>+Template!W2</f>
        <v>D</v>
      </c>
      <c r="DM2" s="91" t="str">
        <f>+Template!X2</f>
        <v>W</v>
      </c>
      <c r="DN2" s="91" t="str">
        <f>+Template!Y2</f>
        <v>W</v>
      </c>
      <c r="DO2" s="91" t="str">
        <f>+Template!Z2</f>
        <v>W</v>
      </c>
      <c r="DP2" s="91" t="str">
        <f>+Template!AA2</f>
        <v>W</v>
      </c>
      <c r="DQ2" s="91" t="str">
        <f>+Template!AB2</f>
        <v>M</v>
      </c>
      <c r="DR2" s="91" t="str">
        <f>+Template!AC2</f>
        <v>M</v>
      </c>
      <c r="DS2" s="91" t="str">
        <f>+Template!AD2</f>
        <v>M</v>
      </c>
      <c r="DT2" s="91" t="str">
        <f>+Template!AE2</f>
        <v>M</v>
      </c>
      <c r="DU2" s="91" t="str">
        <f>+Template!AF2</f>
        <v>Q</v>
      </c>
      <c r="DV2" s="91" t="str">
        <f>+Template!AG2</f>
        <v>Q</v>
      </c>
      <c r="DW2" s="92"/>
    </row>
    <row r="3" spans="1:141" ht="150" x14ac:dyDescent="0.4">
      <c r="B3" s="74">
        <f>VLOOKUP(C3,Data!E2:F13,2,FALSE)</f>
        <v>10</v>
      </c>
      <c r="C3" s="93" t="s">
        <v>64</v>
      </c>
      <c r="D3" s="94" t="str">
        <f>+Template!D3</f>
        <v>Quick environment check</v>
      </c>
      <c r="E3" s="95" t="str">
        <f>+Template!E3</f>
        <v>Health Analyzer Issues</v>
      </c>
      <c r="F3" s="95" t="str">
        <f>+Template!F3</f>
        <v>Content Database Status</v>
      </c>
      <c r="G3" s="95" t="str">
        <f>+Template!G3</f>
        <v>Upgrade Status Servers</v>
      </c>
      <c r="H3" s="95" t="str">
        <f>+Template!H3</f>
        <v>Upgrade Status Databases</v>
      </c>
      <c r="I3" s="95" t="str">
        <f>+Template!I3</f>
        <v>Failed Timer Jobs</v>
      </c>
      <c r="J3" s="95" t="str">
        <f>+Template!J3</f>
        <v>Deployment Status Solutions</v>
      </c>
      <c r="K3" s="95" t="str">
        <f>+Template!K3</f>
        <v>Content Database Size</v>
      </c>
      <c r="L3" s="95" t="str">
        <f>+Template!L3</f>
        <v>Service Application Status</v>
      </c>
      <c r="M3" s="95" t="s">
        <v>98</v>
      </c>
      <c r="N3" s="95" t="s">
        <v>99</v>
      </c>
      <c r="O3" s="95" t="str">
        <f>+Template!O3</f>
        <v>Search Topology</v>
      </c>
      <c r="P3" s="95" t="str">
        <f>+Template!P3</f>
        <v>Search Gatherer Logs</v>
      </c>
      <c r="Q3" s="95" t="s">
        <v>100</v>
      </c>
      <c r="R3" s="95" t="str">
        <f>+Template!R3</f>
        <v>Last Boot Time</v>
      </c>
      <c r="S3" s="95" t="str">
        <f>+Template!S3</f>
        <v>Running Services Check</v>
      </c>
      <c r="T3" s="95" t="str">
        <f>+Template!T3</f>
        <v>Scheduled Tasks</v>
      </c>
      <c r="U3" s="95" t="str">
        <f>+Template!U3</f>
        <v>Running websites en application pools</v>
      </c>
      <c r="V3" s="95" t="str">
        <f>+Template!V3</f>
        <v>Group Membership Check</v>
      </c>
      <c r="W3" s="95" t="str">
        <f>+Template!W3</f>
        <v>Backup Status</v>
      </c>
      <c r="X3" s="95" t="str">
        <f>+Template!X3</f>
        <v>Permissions Check</v>
      </c>
      <c r="Y3" s="95" t="str">
        <f>+Template!Y3</f>
        <v>New Updates</v>
      </c>
      <c r="Z3" s="95" t="str">
        <f>+Template!Z3</f>
        <v>Baseline Settings</v>
      </c>
      <c r="AA3" s="95" t="str">
        <f>+Template!AA3</f>
        <v>Access Check</v>
      </c>
      <c r="AB3" s="95" t="str">
        <f>+Template!AB3</f>
        <v>Missing Security Updates/Service Packs</v>
      </c>
      <c r="AC3" s="95" t="str">
        <f>+Template!AC3</f>
        <v>Policy Compliance</v>
      </c>
      <c r="AD3" s="95" t="str">
        <f>+Template!AD3</f>
        <v>Documentation Check</v>
      </c>
      <c r="AE3" s="95" t="str">
        <f>+Template!AE3</f>
        <v>SSL Certificates Check</v>
      </c>
      <c r="AF3" s="95" t="str">
        <f>+Template!AF3</f>
        <v>Disaster Recovery Test</v>
      </c>
      <c r="AG3" s="95" t="str">
        <f>+Template!AG3</f>
        <v>Lifecycle Check</v>
      </c>
      <c r="AH3" s="96" t="str">
        <f>+Template!AH3</f>
        <v>Performed by:</v>
      </c>
      <c r="AI3" s="94" t="str">
        <f>+Template!D3</f>
        <v>Quick environment check</v>
      </c>
      <c r="AJ3" s="95" t="str">
        <f>+Template!E3</f>
        <v>Health Analyzer Issues</v>
      </c>
      <c r="AK3" s="95" t="str">
        <f>+Template!F3</f>
        <v>Content Database Status</v>
      </c>
      <c r="AL3" s="95" t="str">
        <f>+Template!G3</f>
        <v>Upgrade Status Servers</v>
      </c>
      <c r="AM3" s="95" t="str">
        <f>+Template!H3</f>
        <v>Upgrade Status Databases</v>
      </c>
      <c r="AN3" s="95" t="str">
        <f>+Template!I3</f>
        <v>Failed Timer Jobs</v>
      </c>
      <c r="AO3" s="95" t="str">
        <f>+Template!J3</f>
        <v>Deployment Status Solutions</v>
      </c>
      <c r="AP3" s="95" t="str">
        <f>+Template!K3</f>
        <v>Content Database Size</v>
      </c>
      <c r="AQ3" s="95" t="str">
        <f>+Template!L3</f>
        <v>Service Application Status</v>
      </c>
      <c r="AR3" s="95" t="s">
        <v>98</v>
      </c>
      <c r="AS3" s="95" t="s">
        <v>99</v>
      </c>
      <c r="AT3" s="95" t="str">
        <f>+Template!O3</f>
        <v>Search Topology</v>
      </c>
      <c r="AU3" s="95" t="str">
        <f>+Template!P3</f>
        <v>Search Gatherer Logs</v>
      </c>
      <c r="AV3" s="95" t="s">
        <v>100</v>
      </c>
      <c r="AW3" s="95" t="str">
        <f>+Template!R3</f>
        <v>Last Boot Time</v>
      </c>
      <c r="AX3" s="95" t="str">
        <f>+Template!S3</f>
        <v>Running Services Check</v>
      </c>
      <c r="AY3" s="95" t="str">
        <f>+Template!T3</f>
        <v>Scheduled Tasks</v>
      </c>
      <c r="AZ3" s="95" t="str">
        <f>+Template!U3</f>
        <v>Running websites en application pools</v>
      </c>
      <c r="BA3" s="95" t="str">
        <f>+Template!V3</f>
        <v>Group Membership Check</v>
      </c>
      <c r="BB3" s="95" t="str">
        <f>+Template!W3</f>
        <v>Backup Status</v>
      </c>
      <c r="BC3" s="95" t="str">
        <f>+Template!X3</f>
        <v>Permissions Check</v>
      </c>
      <c r="BD3" s="95" t="str">
        <f>+Template!Y3</f>
        <v>New Updates</v>
      </c>
      <c r="BE3" s="95" t="str">
        <f>+Template!Z3</f>
        <v>Baseline Settings</v>
      </c>
      <c r="BF3" s="95" t="str">
        <f>+Template!AA3</f>
        <v>Access Check</v>
      </c>
      <c r="BG3" s="95" t="str">
        <f>+Template!AB3</f>
        <v>Missing Security Updates/Service Packs</v>
      </c>
      <c r="BH3" s="95" t="str">
        <f>+Template!AC3</f>
        <v>Policy Compliance</v>
      </c>
      <c r="BI3" s="95" t="str">
        <f>+Template!AD3</f>
        <v>Documentation Check</v>
      </c>
      <c r="BJ3" s="95" t="str">
        <f>+Template!AE3</f>
        <v>SSL Certificates Check</v>
      </c>
      <c r="BK3" s="95" t="str">
        <f>+Template!AF3</f>
        <v>Disaster Recovery Test</v>
      </c>
      <c r="BL3" s="95" t="str">
        <f>+Template!AG3</f>
        <v>Lifecycle Check</v>
      </c>
      <c r="BM3" s="96" t="str">
        <f>+Template!AH3</f>
        <v>Performed by:</v>
      </c>
      <c r="BN3" s="94" t="str">
        <f>+Template!D3</f>
        <v>Quick environment check</v>
      </c>
      <c r="BO3" s="95" t="str">
        <f>+Template!E3</f>
        <v>Health Analyzer Issues</v>
      </c>
      <c r="BP3" s="95" t="str">
        <f>+Template!F3</f>
        <v>Content Database Status</v>
      </c>
      <c r="BQ3" s="95" t="str">
        <f>+Template!G3</f>
        <v>Upgrade Status Servers</v>
      </c>
      <c r="BR3" s="95" t="str">
        <f>+Template!H3</f>
        <v>Upgrade Status Databases</v>
      </c>
      <c r="BS3" s="95" t="str">
        <f>+Template!I3</f>
        <v>Failed Timer Jobs</v>
      </c>
      <c r="BT3" s="95" t="str">
        <f>+Template!J3</f>
        <v>Deployment Status Solutions</v>
      </c>
      <c r="BU3" s="95" t="str">
        <f>+Template!K3</f>
        <v>Content Database Size</v>
      </c>
      <c r="BV3" s="95" t="str">
        <f>+Template!L3</f>
        <v>Service Application Status</v>
      </c>
      <c r="BW3" s="95" t="s">
        <v>98</v>
      </c>
      <c r="BX3" s="95" t="s">
        <v>99</v>
      </c>
      <c r="BY3" s="95" t="str">
        <f>+Template!O3</f>
        <v>Search Topology</v>
      </c>
      <c r="BZ3" s="95" t="str">
        <f>+Template!P3</f>
        <v>Search Gatherer Logs</v>
      </c>
      <c r="CA3" s="95" t="s">
        <v>100</v>
      </c>
      <c r="CB3" s="95" t="str">
        <f>+Template!R3</f>
        <v>Last Boot Time</v>
      </c>
      <c r="CC3" s="95" t="str">
        <f>+Template!S3</f>
        <v>Running Services Check</v>
      </c>
      <c r="CD3" s="95" t="str">
        <f>+Template!T3</f>
        <v>Scheduled Tasks</v>
      </c>
      <c r="CE3" s="95" t="str">
        <f>+Template!U3</f>
        <v>Running websites en application pools</v>
      </c>
      <c r="CF3" s="95" t="str">
        <f>+Template!V3</f>
        <v>Group Membership Check</v>
      </c>
      <c r="CG3" s="95" t="str">
        <f>+Template!W3</f>
        <v>Backup Status</v>
      </c>
      <c r="CH3" s="95" t="str">
        <f>+Template!X3</f>
        <v>Permissions Check</v>
      </c>
      <c r="CI3" s="95" t="str">
        <f>+Template!Y3</f>
        <v>New Updates</v>
      </c>
      <c r="CJ3" s="95" t="str">
        <f>+Template!Z3</f>
        <v>Baseline Settings</v>
      </c>
      <c r="CK3" s="95" t="str">
        <f>+Template!AA3</f>
        <v>Access Check</v>
      </c>
      <c r="CL3" s="95" t="str">
        <f>+Template!AB3</f>
        <v>Missing Security Updates/Service Packs</v>
      </c>
      <c r="CM3" s="95" t="str">
        <f>+Template!AC3</f>
        <v>Policy Compliance</v>
      </c>
      <c r="CN3" s="95" t="str">
        <f>+Template!AD3</f>
        <v>Documentation Check</v>
      </c>
      <c r="CO3" s="95" t="str">
        <f>+Template!AE3</f>
        <v>SSL Certificates Check</v>
      </c>
      <c r="CP3" s="95" t="str">
        <f>+Template!AF3</f>
        <v>Disaster Recovery Test</v>
      </c>
      <c r="CQ3" s="95" t="str">
        <f>+Template!AG3</f>
        <v>Lifecycle Check</v>
      </c>
      <c r="CR3" s="96" t="str">
        <f>+Template!AH3</f>
        <v>Performed by:</v>
      </c>
      <c r="CS3" s="94" t="str">
        <f>+Template!D3</f>
        <v>Quick environment check</v>
      </c>
      <c r="CT3" s="95" t="str">
        <f>+Template!E3</f>
        <v>Health Analyzer Issues</v>
      </c>
      <c r="CU3" s="95" t="str">
        <f>+Template!F3</f>
        <v>Content Database Status</v>
      </c>
      <c r="CV3" s="95" t="str">
        <f>+Template!G3</f>
        <v>Upgrade Status Servers</v>
      </c>
      <c r="CW3" s="95" t="str">
        <f>+Template!H3</f>
        <v>Upgrade Status Databases</v>
      </c>
      <c r="CX3" s="95" t="str">
        <f>+Template!I3</f>
        <v>Failed Timer Jobs</v>
      </c>
      <c r="CY3" s="95" t="str">
        <f>+Template!J3</f>
        <v>Deployment Status Solutions</v>
      </c>
      <c r="CZ3" s="95" t="str">
        <f>+Template!K3</f>
        <v>Content Database Size</v>
      </c>
      <c r="DA3" s="95" t="str">
        <f>+Template!L3</f>
        <v>Service Application Status</v>
      </c>
      <c r="DB3" s="95" t="s">
        <v>98</v>
      </c>
      <c r="DC3" s="95" t="s">
        <v>99</v>
      </c>
      <c r="DD3" s="95" t="str">
        <f>+Template!O3</f>
        <v>Search Topology</v>
      </c>
      <c r="DE3" s="95" t="str">
        <f>+Template!P3</f>
        <v>Search Gatherer Logs</v>
      </c>
      <c r="DF3" s="95" t="s">
        <v>100</v>
      </c>
      <c r="DG3" s="95" t="str">
        <f>+Template!R3</f>
        <v>Last Boot Time</v>
      </c>
      <c r="DH3" s="95" t="str">
        <f>+Template!S3</f>
        <v>Running Services Check</v>
      </c>
      <c r="DI3" s="95" t="str">
        <f>+Template!T3</f>
        <v>Scheduled Tasks</v>
      </c>
      <c r="DJ3" s="95" t="str">
        <f>+Template!U3</f>
        <v>Running websites en application pools</v>
      </c>
      <c r="DK3" s="95" t="str">
        <f>+Template!V3</f>
        <v>Group Membership Check</v>
      </c>
      <c r="DL3" s="95" t="str">
        <f>+Template!W3</f>
        <v>Backup Status</v>
      </c>
      <c r="DM3" s="95" t="str">
        <f>+Template!X3</f>
        <v>Permissions Check</v>
      </c>
      <c r="DN3" s="95" t="str">
        <f>+Template!Y3</f>
        <v>New Updates</v>
      </c>
      <c r="DO3" s="95" t="str">
        <f>+Template!Z3</f>
        <v>Baseline Settings</v>
      </c>
      <c r="DP3" s="95" t="str">
        <f>+Template!AA3</f>
        <v>Access Check</v>
      </c>
      <c r="DQ3" s="95" t="str">
        <f>+Template!AB3</f>
        <v>Missing Security Updates/Service Packs</v>
      </c>
      <c r="DR3" s="95" t="str">
        <f>+Template!AC3</f>
        <v>Policy Compliance</v>
      </c>
      <c r="DS3" s="95" t="str">
        <f>+Template!AD3</f>
        <v>Documentation Check</v>
      </c>
      <c r="DT3" s="95" t="str">
        <f>+Template!AE3</f>
        <v>SSL Certificates Check</v>
      </c>
      <c r="DU3" s="95" t="str">
        <f>+Template!AF3</f>
        <v>Disaster Recovery Test</v>
      </c>
      <c r="DV3" s="95" t="str">
        <f>+Template!AG3</f>
        <v>Lifecycle Check</v>
      </c>
      <c r="DW3" s="96" t="str">
        <f>+Template!AH3</f>
        <v>Performed by:</v>
      </c>
      <c r="DX3" s="125"/>
      <c r="DY3" s="126"/>
      <c r="DZ3" s="126"/>
      <c r="EA3" s="126"/>
    </row>
    <row r="4" spans="1:141" ht="23.25" customHeight="1" thickBot="1" x14ac:dyDescent="0.45">
      <c r="C4" s="97">
        <f>Jaartal</f>
        <v>2020</v>
      </c>
      <c r="D4" s="94">
        <f>+Template!D4</f>
        <v>1</v>
      </c>
      <c r="E4" s="95">
        <f>+Template!E4</f>
        <v>10</v>
      </c>
      <c r="F4" s="95">
        <f>+Template!F4</f>
        <v>11</v>
      </c>
      <c r="G4" s="95">
        <f>+Template!G4</f>
        <v>12</v>
      </c>
      <c r="H4" s="95">
        <f>+Template!H4</f>
        <v>13</v>
      </c>
      <c r="I4" s="95">
        <f>+Template!I4</f>
        <v>14</v>
      </c>
      <c r="J4" s="95">
        <f>+Template!J4</f>
        <v>15</v>
      </c>
      <c r="K4" s="95">
        <f>+Template!K4</f>
        <v>16</v>
      </c>
      <c r="L4" s="95">
        <f>+Template!L4</f>
        <v>17</v>
      </c>
      <c r="M4" s="95">
        <v>18</v>
      </c>
      <c r="N4" s="95">
        <v>19</v>
      </c>
      <c r="O4" s="95">
        <f>+Template!O4</f>
        <v>20</v>
      </c>
      <c r="P4" s="95">
        <f>+Template!P4</f>
        <v>21</v>
      </c>
      <c r="Q4" s="95">
        <v>22</v>
      </c>
      <c r="R4" s="95">
        <f>+Template!R4</f>
        <v>30</v>
      </c>
      <c r="S4" s="95">
        <f>+Template!S4</f>
        <v>31</v>
      </c>
      <c r="T4" s="95">
        <f>+Template!T4</f>
        <v>32</v>
      </c>
      <c r="U4" s="95">
        <f>+Template!U4</f>
        <v>33</v>
      </c>
      <c r="V4" s="95">
        <f>+Template!V4</f>
        <v>34</v>
      </c>
      <c r="W4" s="95">
        <f>+Template!W4</f>
        <v>40</v>
      </c>
      <c r="X4" s="95" t="str">
        <f>+Template!X4</f>
        <v>W01</v>
      </c>
      <c r="Y4" s="95" t="str">
        <f>+Template!Y4</f>
        <v>W02</v>
      </c>
      <c r="Z4" s="95" t="str">
        <f>+Template!Z4</f>
        <v>W03</v>
      </c>
      <c r="AA4" s="95" t="str">
        <f>+Template!AA4</f>
        <v>W04</v>
      </c>
      <c r="AB4" s="95" t="str">
        <f>+Template!AB4</f>
        <v>M01</v>
      </c>
      <c r="AC4" s="95" t="str">
        <f>+Template!AC4</f>
        <v>M02</v>
      </c>
      <c r="AD4" s="95" t="str">
        <f>+Template!AD4</f>
        <v>M03</v>
      </c>
      <c r="AE4" s="95" t="str">
        <f>+Template!AE4</f>
        <v>M04</v>
      </c>
      <c r="AF4" s="95" t="str">
        <f>+Template!AF4</f>
        <v>Q01</v>
      </c>
      <c r="AG4" s="95" t="str">
        <f>+Template!AG4</f>
        <v>Q02</v>
      </c>
      <c r="AH4" s="98"/>
      <c r="AI4" s="94">
        <f>+Template!D4</f>
        <v>1</v>
      </c>
      <c r="AJ4" s="95">
        <f>+Template!E4</f>
        <v>10</v>
      </c>
      <c r="AK4" s="95">
        <f>+Template!F4</f>
        <v>11</v>
      </c>
      <c r="AL4" s="95">
        <f>+Template!G4</f>
        <v>12</v>
      </c>
      <c r="AM4" s="95">
        <f>+Template!H4</f>
        <v>13</v>
      </c>
      <c r="AN4" s="95">
        <f>+Template!I4</f>
        <v>14</v>
      </c>
      <c r="AO4" s="95">
        <f>+Template!J4</f>
        <v>15</v>
      </c>
      <c r="AP4" s="95">
        <f>+Template!K4</f>
        <v>16</v>
      </c>
      <c r="AQ4" s="95">
        <f>+Template!L4</f>
        <v>17</v>
      </c>
      <c r="AR4" s="95">
        <v>18</v>
      </c>
      <c r="AS4" s="95">
        <v>19</v>
      </c>
      <c r="AT4" s="95">
        <f>+Template!O4</f>
        <v>20</v>
      </c>
      <c r="AU4" s="95">
        <f>+Template!P4</f>
        <v>21</v>
      </c>
      <c r="AV4" s="95">
        <v>22</v>
      </c>
      <c r="AW4" s="95">
        <f>+Template!R4</f>
        <v>30</v>
      </c>
      <c r="AX4" s="95">
        <f>+Template!S4</f>
        <v>31</v>
      </c>
      <c r="AY4" s="95">
        <f>+Template!T4</f>
        <v>32</v>
      </c>
      <c r="AZ4" s="95">
        <f>+Template!U4</f>
        <v>33</v>
      </c>
      <c r="BA4" s="95">
        <f>+Template!V4</f>
        <v>34</v>
      </c>
      <c r="BB4" s="95">
        <f>+Template!W4</f>
        <v>40</v>
      </c>
      <c r="BC4" s="95" t="str">
        <f>+Template!X4</f>
        <v>W01</v>
      </c>
      <c r="BD4" s="95" t="str">
        <f>+Template!Y4</f>
        <v>W02</v>
      </c>
      <c r="BE4" s="95" t="str">
        <f>+Template!Z4</f>
        <v>W03</v>
      </c>
      <c r="BF4" s="95" t="str">
        <f>+Template!AA4</f>
        <v>W04</v>
      </c>
      <c r="BG4" s="95" t="str">
        <f>+Template!AB4</f>
        <v>M01</v>
      </c>
      <c r="BH4" s="95" t="str">
        <f>+Template!AC4</f>
        <v>M02</v>
      </c>
      <c r="BI4" s="95" t="str">
        <f>+Template!AD4</f>
        <v>M03</v>
      </c>
      <c r="BJ4" s="95" t="str">
        <f>+Template!AE4</f>
        <v>M04</v>
      </c>
      <c r="BK4" s="95" t="str">
        <f>+Template!AF4</f>
        <v>Q01</v>
      </c>
      <c r="BL4" s="95" t="str">
        <f>+Template!AG4</f>
        <v>Q02</v>
      </c>
      <c r="BM4" s="98"/>
      <c r="BN4" s="94">
        <f>+Template!D4</f>
        <v>1</v>
      </c>
      <c r="BO4" s="95">
        <f>+Template!E4</f>
        <v>10</v>
      </c>
      <c r="BP4" s="95">
        <f>+Template!F4</f>
        <v>11</v>
      </c>
      <c r="BQ4" s="95">
        <f>+Template!G4</f>
        <v>12</v>
      </c>
      <c r="BR4" s="95">
        <f>+Template!H4</f>
        <v>13</v>
      </c>
      <c r="BS4" s="95">
        <f>+Template!I4</f>
        <v>14</v>
      </c>
      <c r="BT4" s="95">
        <f>+Template!J4</f>
        <v>15</v>
      </c>
      <c r="BU4" s="95">
        <f>+Template!K4</f>
        <v>16</v>
      </c>
      <c r="BV4" s="95">
        <f>+Template!L4</f>
        <v>17</v>
      </c>
      <c r="BW4" s="95">
        <v>18</v>
      </c>
      <c r="BX4" s="95">
        <v>19</v>
      </c>
      <c r="BY4" s="95">
        <f>+Template!O4</f>
        <v>20</v>
      </c>
      <c r="BZ4" s="95">
        <f>+Template!P4</f>
        <v>21</v>
      </c>
      <c r="CA4" s="95">
        <v>22</v>
      </c>
      <c r="CB4" s="95">
        <f>+Template!R4</f>
        <v>30</v>
      </c>
      <c r="CC4" s="95">
        <f>+Template!S4</f>
        <v>31</v>
      </c>
      <c r="CD4" s="95">
        <f>+Template!T4</f>
        <v>32</v>
      </c>
      <c r="CE4" s="95">
        <f>+Template!U4</f>
        <v>33</v>
      </c>
      <c r="CF4" s="95">
        <f>+Template!V4</f>
        <v>34</v>
      </c>
      <c r="CG4" s="95">
        <f>+Template!W4</f>
        <v>40</v>
      </c>
      <c r="CH4" s="95" t="str">
        <f>+Template!X4</f>
        <v>W01</v>
      </c>
      <c r="CI4" s="95" t="str">
        <f>+Template!Y4</f>
        <v>W02</v>
      </c>
      <c r="CJ4" s="95" t="str">
        <f>+Template!Z4</f>
        <v>W03</v>
      </c>
      <c r="CK4" s="95" t="str">
        <f>+Template!AA4</f>
        <v>W04</v>
      </c>
      <c r="CL4" s="95" t="str">
        <f>+Template!AB4</f>
        <v>M01</v>
      </c>
      <c r="CM4" s="95" t="str">
        <f>+Template!AC4</f>
        <v>M02</v>
      </c>
      <c r="CN4" s="95" t="str">
        <f>+Template!AD4</f>
        <v>M03</v>
      </c>
      <c r="CO4" s="95" t="str">
        <f>+Template!AE4</f>
        <v>M04</v>
      </c>
      <c r="CP4" s="95" t="str">
        <f>+Template!AF4</f>
        <v>Q01</v>
      </c>
      <c r="CQ4" s="95" t="str">
        <f>+Template!AG4</f>
        <v>Q02</v>
      </c>
      <c r="CR4" s="98"/>
      <c r="CS4" s="94">
        <f>+Template!D4</f>
        <v>1</v>
      </c>
      <c r="CT4" s="95">
        <f>+Template!E4</f>
        <v>10</v>
      </c>
      <c r="CU4" s="95">
        <f>+Template!F4</f>
        <v>11</v>
      </c>
      <c r="CV4" s="95">
        <f>+Template!G4</f>
        <v>12</v>
      </c>
      <c r="CW4" s="95">
        <f>+Template!H4</f>
        <v>13</v>
      </c>
      <c r="CX4" s="95">
        <f>+Template!I4</f>
        <v>14</v>
      </c>
      <c r="CY4" s="95">
        <f>+Template!J4</f>
        <v>15</v>
      </c>
      <c r="CZ4" s="95">
        <f>+Template!K4</f>
        <v>16</v>
      </c>
      <c r="DA4" s="95">
        <f>+Template!L4</f>
        <v>17</v>
      </c>
      <c r="DB4" s="95">
        <v>18</v>
      </c>
      <c r="DC4" s="95">
        <v>19</v>
      </c>
      <c r="DD4" s="95">
        <f>+Template!O4</f>
        <v>20</v>
      </c>
      <c r="DE4" s="95">
        <f>+Template!P4</f>
        <v>21</v>
      </c>
      <c r="DF4" s="95">
        <v>22</v>
      </c>
      <c r="DG4" s="95">
        <f>+Template!R4</f>
        <v>30</v>
      </c>
      <c r="DH4" s="95">
        <f>+Template!S4</f>
        <v>31</v>
      </c>
      <c r="DI4" s="95">
        <f>+Template!T4</f>
        <v>32</v>
      </c>
      <c r="DJ4" s="95">
        <f>+Template!U4</f>
        <v>33</v>
      </c>
      <c r="DK4" s="95">
        <f>+Template!V4</f>
        <v>34</v>
      </c>
      <c r="DL4" s="95">
        <f>+Template!W4</f>
        <v>40</v>
      </c>
      <c r="DM4" s="95" t="str">
        <f>+Template!X4</f>
        <v>W01</v>
      </c>
      <c r="DN4" s="95" t="str">
        <f>+Template!Y4</f>
        <v>W02</v>
      </c>
      <c r="DO4" s="95" t="str">
        <f>+Template!Z4</f>
        <v>W03</v>
      </c>
      <c r="DP4" s="95" t="str">
        <f>+Template!AA4</f>
        <v>W04</v>
      </c>
      <c r="DQ4" s="95" t="str">
        <f>+Template!AB4</f>
        <v>M01</v>
      </c>
      <c r="DR4" s="95" t="str">
        <f>+Template!AC4</f>
        <v>M02</v>
      </c>
      <c r="DS4" s="95" t="str">
        <f>+Template!AD4</f>
        <v>M03</v>
      </c>
      <c r="DT4" s="95" t="str">
        <f>+Template!AE4</f>
        <v>M04</v>
      </c>
      <c r="DU4" s="95" t="str">
        <f>+Template!AF4</f>
        <v>Q01</v>
      </c>
      <c r="DV4" s="95" t="str">
        <f>+Template!AG4</f>
        <v>Q02</v>
      </c>
      <c r="DW4" s="98"/>
      <c r="DX4" s="125"/>
      <c r="DY4" s="126"/>
      <c r="DZ4" s="126"/>
      <c r="EA4" s="126"/>
    </row>
    <row r="5" spans="1:141" x14ac:dyDescent="0.4">
      <c r="A5" s="74">
        <f>WEEKDAY(C5)</f>
        <v>5</v>
      </c>
      <c r="B5" s="74">
        <v>1</v>
      </c>
      <c r="C5" s="127">
        <f>DATE(Jaartal,October!$B$3,October!$B5)</f>
        <v>44105</v>
      </c>
      <c r="D5" s="100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2"/>
      <c r="AI5" s="100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2"/>
      <c r="BN5" s="100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2"/>
      <c r="CS5" s="100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3"/>
      <c r="DJ5" s="103"/>
      <c r="DK5" s="103"/>
      <c r="DL5" s="103"/>
      <c r="DM5" s="103"/>
      <c r="DN5" s="103"/>
      <c r="DO5" s="103"/>
      <c r="DP5" s="103"/>
      <c r="DQ5" s="103"/>
      <c r="DR5" s="103"/>
      <c r="DS5" s="103"/>
      <c r="DT5" s="103"/>
      <c r="DU5" s="103"/>
      <c r="DV5" s="103"/>
      <c r="DW5" s="102"/>
      <c r="DX5" s="128"/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</row>
    <row r="6" spans="1:141" x14ac:dyDescent="0.4">
      <c r="A6" s="74">
        <f t="shared" ref="A6:A35" si="0">WEEKDAY(C6)</f>
        <v>6</v>
      </c>
      <c r="B6" s="74">
        <v>2</v>
      </c>
      <c r="C6" s="127">
        <f>DATE(Jaartal,October!$B$3,October!$B6)</f>
        <v>44106</v>
      </c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6"/>
      <c r="AI6" s="104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6"/>
      <c r="BN6" s="104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6"/>
      <c r="CS6" s="104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6"/>
      <c r="DX6" s="128"/>
      <c r="DY6" s="128"/>
      <c r="DZ6" s="128"/>
      <c r="EA6" s="128"/>
      <c r="EB6" s="128"/>
      <c r="EC6" s="128"/>
      <c r="ED6" s="128"/>
      <c r="EE6" s="128"/>
      <c r="EF6" s="128"/>
      <c r="EG6" s="128"/>
      <c r="EH6" s="128"/>
      <c r="EI6" s="128"/>
      <c r="EJ6" s="128"/>
      <c r="EK6" s="128"/>
    </row>
    <row r="7" spans="1:141" x14ac:dyDescent="0.4">
      <c r="A7" s="74">
        <f t="shared" si="0"/>
        <v>7</v>
      </c>
      <c r="B7" s="74">
        <v>3</v>
      </c>
      <c r="C7" s="127">
        <f>DATE(Jaartal,October!$B$3,October!$B7)</f>
        <v>44107</v>
      </c>
      <c r="D7" s="104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6"/>
      <c r="AI7" s="104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6"/>
      <c r="BN7" s="104"/>
      <c r="BO7" s="105"/>
      <c r="BP7" s="105"/>
      <c r="BQ7" s="105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6"/>
      <c r="CS7" s="104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6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</row>
    <row r="8" spans="1:141" x14ac:dyDescent="0.4">
      <c r="A8" s="74">
        <f t="shared" si="0"/>
        <v>1</v>
      </c>
      <c r="B8" s="74">
        <v>4</v>
      </c>
      <c r="C8" s="127">
        <f>DATE(Jaartal,October!$B$3,October!$B8)</f>
        <v>44108</v>
      </c>
      <c r="D8" s="104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6"/>
      <c r="AI8" s="104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6"/>
      <c r="BN8" s="104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6"/>
      <c r="CS8" s="104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/>
      <c r="DT8" s="107"/>
      <c r="DU8" s="107"/>
      <c r="DV8" s="107"/>
      <c r="DW8" s="106"/>
      <c r="DX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</row>
    <row r="9" spans="1:141" x14ac:dyDescent="0.4">
      <c r="A9" s="74">
        <f t="shared" si="0"/>
        <v>2</v>
      </c>
      <c r="B9" s="74">
        <v>5</v>
      </c>
      <c r="C9" s="127">
        <f>DATE(Jaartal,October!$B$3,October!$B9)</f>
        <v>44109</v>
      </c>
      <c r="D9" s="104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6"/>
      <c r="AI9" s="104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6"/>
      <c r="BN9" s="104"/>
      <c r="BO9" s="105"/>
      <c r="BP9" s="105"/>
      <c r="BQ9" s="105"/>
      <c r="BR9" s="105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6"/>
      <c r="CS9" s="104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5"/>
      <c r="DH9" s="105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6"/>
      <c r="DX9" s="128"/>
      <c r="DY9" s="128"/>
      <c r="DZ9" s="128"/>
      <c r="EA9" s="128"/>
      <c r="EB9" s="128"/>
      <c r="EC9" s="128"/>
      <c r="ED9" s="128"/>
      <c r="EE9" s="128"/>
      <c r="EF9" s="128"/>
      <c r="EG9" s="128"/>
      <c r="EH9" s="128"/>
      <c r="EI9" s="128"/>
      <c r="EJ9" s="128"/>
      <c r="EK9" s="128"/>
    </row>
    <row r="10" spans="1:141" x14ac:dyDescent="0.4">
      <c r="A10" s="74">
        <f t="shared" si="0"/>
        <v>3</v>
      </c>
      <c r="B10" s="74">
        <v>6</v>
      </c>
      <c r="C10" s="127">
        <f>DATE(Jaartal,October!$B$3,October!$B10)</f>
        <v>44110</v>
      </c>
      <c r="D10" s="104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6"/>
      <c r="AI10" s="104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6"/>
      <c r="BN10" s="104"/>
      <c r="BO10" s="105"/>
      <c r="BP10" s="105"/>
      <c r="BQ10" s="105"/>
      <c r="BR10" s="105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6"/>
      <c r="CS10" s="104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5"/>
      <c r="DH10" s="105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6"/>
      <c r="DX10" s="128"/>
      <c r="DY10" s="128"/>
      <c r="DZ10" s="128"/>
      <c r="EA10" s="128"/>
      <c r="EB10" s="128"/>
      <c r="EC10" s="128"/>
      <c r="ED10" s="128"/>
      <c r="EE10" s="128"/>
      <c r="EF10" s="128"/>
      <c r="EG10" s="128"/>
      <c r="EH10" s="128"/>
      <c r="EI10" s="128"/>
      <c r="EJ10" s="128"/>
      <c r="EK10" s="128"/>
    </row>
    <row r="11" spans="1:141" x14ac:dyDescent="0.4">
      <c r="A11" s="74">
        <f t="shared" si="0"/>
        <v>4</v>
      </c>
      <c r="B11" s="74">
        <v>7</v>
      </c>
      <c r="C11" s="127">
        <f>DATE(Jaartal,October!$B$3,October!$B11)</f>
        <v>44111</v>
      </c>
      <c r="D11" s="104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6"/>
      <c r="AI11" s="104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6"/>
      <c r="BN11" s="104"/>
      <c r="BO11" s="105"/>
      <c r="BP11" s="105"/>
      <c r="BQ11" s="105"/>
      <c r="BR11" s="105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6"/>
      <c r="CS11" s="104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5"/>
      <c r="DH11" s="105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6"/>
      <c r="DX11" s="128"/>
      <c r="DY11" s="128"/>
      <c r="DZ11" s="128"/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</row>
    <row r="12" spans="1:141" x14ac:dyDescent="0.4">
      <c r="A12" s="74">
        <f t="shared" si="0"/>
        <v>5</v>
      </c>
      <c r="B12" s="74">
        <v>8</v>
      </c>
      <c r="C12" s="127">
        <f>DATE(Jaartal,October!$B$3,October!$B12)</f>
        <v>44112</v>
      </c>
      <c r="D12" s="104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6"/>
      <c r="AI12" s="104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6"/>
      <c r="BN12" s="104"/>
      <c r="BO12" s="105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6"/>
      <c r="CS12" s="104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5"/>
      <c r="DH12" s="105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6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</row>
    <row r="13" spans="1:141" x14ac:dyDescent="0.4">
      <c r="A13" s="74">
        <f t="shared" si="0"/>
        <v>6</v>
      </c>
      <c r="B13" s="74">
        <v>9</v>
      </c>
      <c r="C13" s="127">
        <f>DATE(Jaartal,October!$B$3,October!$B13)</f>
        <v>44113</v>
      </c>
      <c r="D13" s="104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6"/>
      <c r="AI13" s="104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6"/>
      <c r="BN13" s="104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6"/>
      <c r="CS13" s="104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5"/>
      <c r="DH13" s="105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6"/>
      <c r="DX13" s="128"/>
      <c r="DY13" s="128"/>
      <c r="DZ13" s="128"/>
      <c r="EA13" s="128"/>
      <c r="EB13" s="128"/>
      <c r="EC13" s="128"/>
      <c r="ED13" s="128"/>
      <c r="EE13" s="128"/>
      <c r="EF13" s="128"/>
      <c r="EG13" s="128"/>
      <c r="EH13" s="128"/>
      <c r="EI13" s="128"/>
      <c r="EJ13" s="128"/>
      <c r="EK13" s="128"/>
    </row>
    <row r="14" spans="1:141" x14ac:dyDescent="0.4">
      <c r="A14" s="74">
        <f t="shared" si="0"/>
        <v>7</v>
      </c>
      <c r="B14" s="74">
        <v>10</v>
      </c>
      <c r="C14" s="127">
        <f>DATE(Jaartal,October!$B$3,October!$B14)</f>
        <v>44114</v>
      </c>
      <c r="D14" s="104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6"/>
      <c r="AI14" s="104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6"/>
      <c r="BN14" s="104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6"/>
      <c r="CS14" s="104"/>
      <c r="CT14" s="105"/>
      <c r="CU14" s="105"/>
      <c r="CV14" s="105"/>
      <c r="CW14" s="105"/>
      <c r="CX14" s="105"/>
      <c r="CY14" s="105"/>
      <c r="CZ14" s="105"/>
      <c r="DA14" s="105"/>
      <c r="DB14" s="105"/>
      <c r="DC14" s="105"/>
      <c r="DD14" s="105"/>
      <c r="DE14" s="105"/>
      <c r="DF14" s="105"/>
      <c r="DG14" s="105"/>
      <c r="DH14" s="105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6"/>
      <c r="DX14" s="128"/>
      <c r="DY14" s="128"/>
      <c r="DZ14" s="128"/>
      <c r="EA14" s="128"/>
      <c r="EB14" s="128"/>
      <c r="EC14" s="128"/>
      <c r="ED14" s="128"/>
      <c r="EE14" s="128"/>
      <c r="EF14" s="128"/>
      <c r="EG14" s="128"/>
      <c r="EH14" s="128"/>
      <c r="EI14" s="128"/>
      <c r="EJ14" s="128"/>
      <c r="EK14" s="128"/>
    </row>
    <row r="15" spans="1:141" x14ac:dyDescent="0.4">
      <c r="A15" s="74">
        <f t="shared" si="0"/>
        <v>1</v>
      </c>
      <c r="B15" s="74">
        <v>11</v>
      </c>
      <c r="C15" s="127">
        <f>DATE(Jaartal,October!$B$3,October!$B15)</f>
        <v>44115</v>
      </c>
      <c r="D15" s="104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6"/>
      <c r="AI15" s="104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6"/>
      <c r="BN15" s="104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6"/>
      <c r="CS15" s="104"/>
      <c r="CT15" s="105"/>
      <c r="CU15" s="105"/>
      <c r="CV15" s="105"/>
      <c r="CW15" s="105"/>
      <c r="CX15" s="105"/>
      <c r="CY15" s="105"/>
      <c r="CZ15" s="105"/>
      <c r="DA15" s="105"/>
      <c r="DB15" s="105"/>
      <c r="DC15" s="105"/>
      <c r="DD15" s="105"/>
      <c r="DE15" s="105"/>
      <c r="DF15" s="105"/>
      <c r="DG15" s="105"/>
      <c r="DH15" s="105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6"/>
      <c r="DX15" s="128"/>
      <c r="DY15" s="128"/>
      <c r="DZ15" s="128"/>
      <c r="EA15" s="128"/>
      <c r="EB15" s="128"/>
      <c r="EC15" s="128"/>
      <c r="ED15" s="128"/>
      <c r="EE15" s="128"/>
      <c r="EF15" s="128"/>
      <c r="EG15" s="128"/>
      <c r="EH15" s="128"/>
      <c r="EI15" s="128"/>
      <c r="EJ15" s="128"/>
      <c r="EK15" s="128"/>
    </row>
    <row r="16" spans="1:141" x14ac:dyDescent="0.4">
      <c r="A16" s="74">
        <f t="shared" si="0"/>
        <v>2</v>
      </c>
      <c r="B16" s="74">
        <v>12</v>
      </c>
      <c r="C16" s="127">
        <f>DATE(Jaartal,October!$B$3,October!$B16)</f>
        <v>44116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6"/>
      <c r="AI16" s="104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6"/>
      <c r="BN16" s="104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6"/>
      <c r="DX16" s="128"/>
      <c r="DY16" s="128"/>
      <c r="DZ16" s="128"/>
      <c r="EA16" s="128"/>
      <c r="EB16" s="128"/>
      <c r="EC16" s="128"/>
      <c r="ED16" s="128"/>
      <c r="EE16" s="128"/>
      <c r="EF16" s="128"/>
      <c r="EG16" s="128"/>
      <c r="EH16" s="128"/>
      <c r="EI16" s="128"/>
      <c r="EJ16" s="128"/>
      <c r="EK16" s="128"/>
    </row>
    <row r="17" spans="1:141" x14ac:dyDescent="0.4">
      <c r="A17" s="74">
        <f t="shared" si="0"/>
        <v>3</v>
      </c>
      <c r="B17" s="74">
        <v>13</v>
      </c>
      <c r="C17" s="127">
        <f>DATE(Jaartal,October!$B$3,October!$B17)</f>
        <v>44117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6"/>
      <c r="AI17" s="104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6"/>
      <c r="BN17" s="104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6"/>
      <c r="CS17" s="104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6"/>
      <c r="DX17" s="128"/>
      <c r="DY17" s="128"/>
      <c r="DZ17" s="128"/>
      <c r="EA17" s="128"/>
      <c r="EB17" s="128"/>
      <c r="EC17" s="128"/>
      <c r="ED17" s="128"/>
      <c r="EE17" s="128"/>
      <c r="EF17" s="128"/>
      <c r="EG17" s="128"/>
      <c r="EH17" s="128"/>
      <c r="EI17" s="128"/>
      <c r="EJ17" s="128"/>
      <c r="EK17" s="128"/>
    </row>
    <row r="18" spans="1:141" x14ac:dyDescent="0.4">
      <c r="A18" s="74">
        <f t="shared" si="0"/>
        <v>4</v>
      </c>
      <c r="B18" s="74">
        <v>14</v>
      </c>
      <c r="C18" s="127">
        <f>DATE(Jaartal,October!$B$3,October!$B18)</f>
        <v>44118</v>
      </c>
      <c r="D18" s="104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6"/>
      <c r="AI18" s="104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6"/>
      <c r="BN18" s="104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6"/>
      <c r="CS18" s="104"/>
      <c r="CT18" s="105"/>
      <c r="CU18" s="105"/>
      <c r="CV18" s="105"/>
      <c r="CW18" s="105"/>
      <c r="CX18" s="105"/>
      <c r="CY18" s="105"/>
      <c r="CZ18" s="105"/>
      <c r="DA18" s="105"/>
      <c r="DB18" s="105"/>
      <c r="DC18" s="105"/>
      <c r="DD18" s="105"/>
      <c r="DE18" s="105"/>
      <c r="DF18" s="105"/>
      <c r="DG18" s="105"/>
      <c r="DH18" s="105"/>
      <c r="DI18" s="107"/>
      <c r="DJ18" s="107"/>
      <c r="DK18" s="107"/>
      <c r="DL18" s="107"/>
      <c r="DM18" s="107"/>
      <c r="DN18" s="107"/>
      <c r="DO18" s="107"/>
      <c r="DP18" s="107"/>
      <c r="DQ18" s="107"/>
      <c r="DR18" s="107"/>
      <c r="DS18" s="107"/>
      <c r="DT18" s="107"/>
      <c r="DU18" s="107"/>
      <c r="DV18" s="107"/>
      <c r="DW18" s="106"/>
      <c r="DX18" s="128"/>
      <c r="DY18" s="128"/>
      <c r="DZ18" s="128"/>
      <c r="EA18" s="128"/>
      <c r="EB18" s="128"/>
      <c r="EC18" s="128"/>
      <c r="ED18" s="128"/>
      <c r="EE18" s="128"/>
      <c r="EF18" s="128"/>
      <c r="EG18" s="128"/>
      <c r="EH18" s="128"/>
      <c r="EI18" s="128"/>
      <c r="EJ18" s="128"/>
      <c r="EK18" s="128"/>
    </row>
    <row r="19" spans="1:141" x14ac:dyDescent="0.4">
      <c r="A19" s="74">
        <f t="shared" si="0"/>
        <v>5</v>
      </c>
      <c r="B19" s="74">
        <v>15</v>
      </c>
      <c r="C19" s="127">
        <f>DATE(Jaartal,October!$B$3,October!$B19)</f>
        <v>44119</v>
      </c>
      <c r="D19" s="104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6"/>
      <c r="AI19" s="104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6"/>
      <c r="BN19" s="104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6"/>
      <c r="CS19" s="104"/>
      <c r="CT19" s="105"/>
      <c r="CU19" s="105"/>
      <c r="CV19" s="105"/>
      <c r="CW19" s="105"/>
      <c r="CX19" s="105"/>
      <c r="CY19" s="105"/>
      <c r="CZ19" s="105"/>
      <c r="DA19" s="105"/>
      <c r="DB19" s="105"/>
      <c r="DC19" s="105"/>
      <c r="DD19" s="105"/>
      <c r="DE19" s="105"/>
      <c r="DF19" s="105"/>
      <c r="DG19" s="105"/>
      <c r="DH19" s="105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6"/>
      <c r="DX19" s="128"/>
      <c r="DY19" s="128"/>
      <c r="DZ19" s="128"/>
      <c r="EA19" s="128"/>
      <c r="EB19" s="128"/>
      <c r="EC19" s="128"/>
      <c r="ED19" s="128"/>
      <c r="EE19" s="128"/>
      <c r="EF19" s="128"/>
      <c r="EG19" s="128"/>
      <c r="EH19" s="128"/>
      <c r="EI19" s="128"/>
      <c r="EJ19" s="128"/>
      <c r="EK19" s="128"/>
    </row>
    <row r="20" spans="1:141" x14ac:dyDescent="0.4">
      <c r="A20" s="74">
        <f t="shared" si="0"/>
        <v>6</v>
      </c>
      <c r="B20" s="74">
        <v>16</v>
      </c>
      <c r="C20" s="127">
        <f>DATE(Jaartal,October!$B$3,October!$B20)</f>
        <v>44120</v>
      </c>
      <c r="D20" s="104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6"/>
      <c r="AI20" s="104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6"/>
      <c r="BN20" s="104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6"/>
      <c r="CS20" s="104"/>
      <c r="CT20" s="105"/>
      <c r="CU20" s="105"/>
      <c r="CV20" s="105"/>
      <c r="CW20" s="105"/>
      <c r="CX20" s="105"/>
      <c r="CY20" s="105"/>
      <c r="CZ20" s="105"/>
      <c r="DA20" s="105"/>
      <c r="DB20" s="105"/>
      <c r="DC20" s="105"/>
      <c r="DD20" s="105"/>
      <c r="DE20" s="105"/>
      <c r="DF20" s="105"/>
      <c r="DG20" s="105"/>
      <c r="DH20" s="105"/>
      <c r="DI20" s="107"/>
      <c r="DJ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U20" s="107"/>
      <c r="DV20" s="107"/>
      <c r="DW20" s="106"/>
      <c r="DX20" s="128"/>
      <c r="DY20" s="128"/>
      <c r="DZ20" s="128"/>
      <c r="EA20" s="128"/>
      <c r="EB20" s="128"/>
      <c r="EC20" s="128"/>
      <c r="ED20" s="128"/>
      <c r="EE20" s="128"/>
      <c r="EF20" s="128"/>
      <c r="EG20" s="128"/>
      <c r="EH20" s="128"/>
      <c r="EI20" s="128"/>
      <c r="EJ20" s="128"/>
      <c r="EK20" s="128"/>
    </row>
    <row r="21" spans="1:141" x14ac:dyDescent="0.4">
      <c r="A21" s="74">
        <f t="shared" si="0"/>
        <v>7</v>
      </c>
      <c r="B21" s="74">
        <v>17</v>
      </c>
      <c r="C21" s="127">
        <f>DATE(Jaartal,October!$B$3,October!$B21)</f>
        <v>44121</v>
      </c>
      <c r="D21" s="104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6"/>
      <c r="AI21" s="104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6"/>
      <c r="BN21" s="104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6"/>
      <c r="CS21" s="104"/>
      <c r="CT21" s="105"/>
      <c r="CU21" s="105"/>
      <c r="CV21" s="105"/>
      <c r="CW21" s="105"/>
      <c r="CX21" s="105"/>
      <c r="CY21" s="105"/>
      <c r="CZ21" s="105"/>
      <c r="DA21" s="105"/>
      <c r="DB21" s="105"/>
      <c r="DC21" s="105"/>
      <c r="DD21" s="105"/>
      <c r="DE21" s="105"/>
      <c r="DF21" s="105"/>
      <c r="DG21" s="105"/>
      <c r="DH21" s="105"/>
      <c r="DI21" s="107"/>
      <c r="DJ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U21" s="107"/>
      <c r="DV21" s="107"/>
      <c r="DW21" s="106"/>
      <c r="DX21" s="128"/>
      <c r="DY21" s="128"/>
      <c r="DZ21" s="128"/>
      <c r="EA21" s="128"/>
      <c r="EB21" s="128"/>
      <c r="EC21" s="128"/>
      <c r="ED21" s="128"/>
      <c r="EE21" s="128"/>
      <c r="EF21" s="128"/>
      <c r="EG21" s="128"/>
      <c r="EH21" s="128"/>
      <c r="EI21" s="128"/>
      <c r="EJ21" s="128"/>
      <c r="EK21" s="128"/>
    </row>
    <row r="22" spans="1:141" x14ac:dyDescent="0.4">
      <c r="A22" s="74">
        <f t="shared" si="0"/>
        <v>1</v>
      </c>
      <c r="B22" s="74">
        <v>18</v>
      </c>
      <c r="C22" s="127">
        <f>DATE(Jaartal,October!$B$3,October!$B22)</f>
        <v>44122</v>
      </c>
      <c r="D22" s="104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6"/>
      <c r="AI22" s="104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6"/>
      <c r="BN22" s="104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6"/>
      <c r="CS22" s="104"/>
      <c r="CT22" s="105"/>
      <c r="CU22" s="105"/>
      <c r="CV22" s="105"/>
      <c r="CW22" s="105"/>
      <c r="CX22" s="105"/>
      <c r="CY22" s="105"/>
      <c r="CZ22" s="105"/>
      <c r="DA22" s="105"/>
      <c r="DB22" s="105"/>
      <c r="DC22" s="105"/>
      <c r="DD22" s="105"/>
      <c r="DE22" s="105"/>
      <c r="DF22" s="105"/>
      <c r="DG22" s="105"/>
      <c r="DH22" s="105"/>
      <c r="DI22" s="107"/>
      <c r="DJ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U22" s="107"/>
      <c r="DV22" s="107"/>
      <c r="DW22" s="106"/>
      <c r="DX22" s="128"/>
      <c r="DY22" s="128"/>
      <c r="DZ22" s="128"/>
      <c r="EA22" s="128"/>
      <c r="EB22" s="128"/>
      <c r="EC22" s="128"/>
      <c r="ED22" s="128"/>
      <c r="EE22" s="128"/>
      <c r="EF22" s="128"/>
      <c r="EG22" s="128"/>
      <c r="EH22" s="128"/>
      <c r="EI22" s="128"/>
      <c r="EJ22" s="128"/>
      <c r="EK22" s="128"/>
    </row>
    <row r="23" spans="1:141" x14ac:dyDescent="0.4">
      <c r="A23" s="74">
        <f t="shared" si="0"/>
        <v>2</v>
      </c>
      <c r="B23" s="74">
        <v>19</v>
      </c>
      <c r="C23" s="127">
        <f>DATE(Jaartal,October!$B$3,October!$B23)</f>
        <v>44123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6"/>
      <c r="AI23" s="104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6"/>
      <c r="BN23" s="104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7"/>
      <c r="CE23" s="107"/>
      <c r="CF23" s="107"/>
      <c r="CG23" s="107"/>
      <c r="CH23" s="107"/>
      <c r="CI23" s="107"/>
      <c r="CJ23" s="107"/>
      <c r="CK23" s="107"/>
      <c r="CL23" s="107"/>
      <c r="CM23" s="107"/>
      <c r="CN23" s="107"/>
      <c r="CO23" s="107"/>
      <c r="CP23" s="107"/>
      <c r="CQ23" s="107"/>
      <c r="CR23" s="106"/>
      <c r="CS23" s="104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5"/>
      <c r="DH23" s="105"/>
      <c r="DI23" s="107"/>
      <c r="DJ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U23" s="107"/>
      <c r="DV23" s="107"/>
      <c r="DW23" s="106"/>
      <c r="DX23" s="128"/>
      <c r="DY23" s="128"/>
      <c r="DZ23" s="128"/>
      <c r="EA23" s="128"/>
      <c r="EB23" s="128"/>
      <c r="EC23" s="128"/>
      <c r="ED23" s="128"/>
      <c r="EE23" s="128"/>
      <c r="EF23" s="128"/>
      <c r="EG23" s="128"/>
      <c r="EH23" s="128"/>
      <c r="EI23" s="128"/>
      <c r="EJ23" s="128"/>
      <c r="EK23" s="128"/>
    </row>
    <row r="24" spans="1:141" x14ac:dyDescent="0.4">
      <c r="A24" s="74">
        <f t="shared" si="0"/>
        <v>3</v>
      </c>
      <c r="B24" s="74">
        <v>20</v>
      </c>
      <c r="C24" s="127">
        <f>DATE(Jaartal,October!$B$3,October!$B24)</f>
        <v>44124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6"/>
      <c r="AI24" s="104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6"/>
      <c r="BN24" s="104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6"/>
      <c r="DX24" s="128"/>
      <c r="DY24" s="128"/>
      <c r="DZ24" s="128"/>
      <c r="EA24" s="128"/>
      <c r="EB24" s="128"/>
      <c r="EC24" s="128"/>
      <c r="ED24" s="128"/>
      <c r="EE24" s="128"/>
      <c r="EF24" s="128"/>
      <c r="EG24" s="128"/>
      <c r="EH24" s="128"/>
      <c r="EI24" s="128"/>
      <c r="EJ24" s="128"/>
      <c r="EK24" s="128"/>
    </row>
    <row r="25" spans="1:141" x14ac:dyDescent="0.4">
      <c r="A25" s="74">
        <f t="shared" si="0"/>
        <v>4</v>
      </c>
      <c r="B25" s="74">
        <v>21</v>
      </c>
      <c r="C25" s="127">
        <f>DATE(Jaartal,October!$B$3,October!$B25)</f>
        <v>44125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6"/>
      <c r="AI25" s="104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6"/>
      <c r="BN25" s="104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U25" s="107"/>
      <c r="DV25" s="107"/>
      <c r="DW25" s="106"/>
      <c r="DX25" s="128"/>
      <c r="DY25" s="128"/>
      <c r="DZ25" s="128"/>
      <c r="EA25" s="128"/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</row>
    <row r="26" spans="1:141" x14ac:dyDescent="0.4">
      <c r="A26" s="74">
        <f t="shared" si="0"/>
        <v>5</v>
      </c>
      <c r="B26" s="74">
        <v>22</v>
      </c>
      <c r="C26" s="127">
        <f>DATE(Jaartal,October!$B$3,October!$B26)</f>
        <v>44126</v>
      </c>
      <c r="D26" s="104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6"/>
      <c r="AI26" s="104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6"/>
      <c r="BN26" s="104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6"/>
      <c r="CS26" s="104"/>
      <c r="CT26" s="105"/>
      <c r="CU26" s="105"/>
      <c r="CV26" s="105"/>
      <c r="CW26" s="105"/>
      <c r="CX26" s="105"/>
      <c r="CY26" s="105"/>
      <c r="CZ26" s="105"/>
      <c r="DA26" s="105"/>
      <c r="DB26" s="105"/>
      <c r="DC26" s="105"/>
      <c r="DD26" s="105"/>
      <c r="DE26" s="105"/>
      <c r="DF26" s="105"/>
      <c r="DG26" s="105"/>
      <c r="DH26" s="105"/>
      <c r="DI26" s="107"/>
      <c r="DJ26" s="107"/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U26" s="107"/>
      <c r="DV26" s="107"/>
      <c r="DW26" s="106"/>
      <c r="DX26" s="128"/>
      <c r="DY26" s="128"/>
      <c r="DZ26" s="128"/>
      <c r="EA26" s="128"/>
      <c r="EB26" s="128"/>
      <c r="EC26" s="128"/>
      <c r="ED26" s="128"/>
      <c r="EE26" s="128"/>
      <c r="EF26" s="128"/>
      <c r="EG26" s="128"/>
      <c r="EH26" s="128"/>
      <c r="EI26" s="128"/>
      <c r="EJ26" s="128"/>
      <c r="EK26" s="128"/>
    </row>
    <row r="27" spans="1:141" x14ac:dyDescent="0.4">
      <c r="A27" s="74">
        <f t="shared" si="0"/>
        <v>6</v>
      </c>
      <c r="B27" s="74">
        <v>23</v>
      </c>
      <c r="C27" s="127">
        <f>DATE(Jaartal,October!$B$3,October!$B27)</f>
        <v>44127</v>
      </c>
      <c r="D27" s="104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6"/>
      <c r="AI27" s="104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6"/>
      <c r="BN27" s="104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6"/>
      <c r="CS27" s="104"/>
      <c r="CT27" s="105"/>
      <c r="CU27" s="105"/>
      <c r="CV27" s="105"/>
      <c r="CW27" s="105"/>
      <c r="CX27" s="105"/>
      <c r="CY27" s="105"/>
      <c r="CZ27" s="105"/>
      <c r="DA27" s="105"/>
      <c r="DB27" s="105"/>
      <c r="DC27" s="105"/>
      <c r="DD27" s="105"/>
      <c r="DE27" s="105"/>
      <c r="DF27" s="105"/>
      <c r="DG27" s="105"/>
      <c r="DH27" s="105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U27" s="107"/>
      <c r="DV27" s="107"/>
      <c r="DW27" s="106"/>
      <c r="DX27" s="128"/>
      <c r="DY27" s="128"/>
      <c r="DZ27" s="128"/>
      <c r="EA27" s="128"/>
      <c r="EB27" s="128"/>
      <c r="EC27" s="128"/>
      <c r="ED27" s="128"/>
      <c r="EE27" s="128"/>
      <c r="EF27" s="128"/>
      <c r="EG27" s="128"/>
      <c r="EH27" s="128"/>
      <c r="EI27" s="128"/>
      <c r="EJ27" s="128"/>
      <c r="EK27" s="128"/>
    </row>
    <row r="28" spans="1:141" x14ac:dyDescent="0.4">
      <c r="A28" s="74">
        <f t="shared" si="0"/>
        <v>7</v>
      </c>
      <c r="B28" s="74">
        <v>24</v>
      </c>
      <c r="C28" s="127">
        <f>DATE(Jaartal,October!$B$3,October!$B28)</f>
        <v>44128</v>
      </c>
      <c r="D28" s="104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6"/>
      <c r="AI28" s="104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6"/>
      <c r="BN28" s="104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6"/>
      <c r="CS28" s="104"/>
      <c r="CT28" s="105"/>
      <c r="CU28" s="105"/>
      <c r="CV28" s="105"/>
      <c r="CW28" s="105"/>
      <c r="CX28" s="105"/>
      <c r="CY28" s="105"/>
      <c r="CZ28" s="105"/>
      <c r="DA28" s="105"/>
      <c r="DB28" s="105"/>
      <c r="DC28" s="105"/>
      <c r="DD28" s="105"/>
      <c r="DE28" s="105"/>
      <c r="DF28" s="105"/>
      <c r="DG28" s="105"/>
      <c r="DH28" s="105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6"/>
      <c r="DX28" s="128"/>
      <c r="DY28" s="128"/>
      <c r="DZ28" s="128"/>
      <c r="EA28" s="128"/>
      <c r="EB28" s="128"/>
      <c r="EC28" s="128"/>
      <c r="ED28" s="128"/>
      <c r="EE28" s="128"/>
      <c r="EF28" s="128"/>
      <c r="EG28" s="128"/>
      <c r="EH28" s="128"/>
      <c r="EI28" s="128"/>
      <c r="EJ28" s="128"/>
      <c r="EK28" s="128"/>
    </row>
    <row r="29" spans="1:141" x14ac:dyDescent="0.4">
      <c r="A29" s="74">
        <f t="shared" si="0"/>
        <v>1</v>
      </c>
      <c r="B29" s="74">
        <v>25</v>
      </c>
      <c r="C29" s="127">
        <f>DATE(Jaartal,October!$B$3,October!$B29)</f>
        <v>44129</v>
      </c>
      <c r="D29" s="104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6"/>
      <c r="AI29" s="104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6"/>
      <c r="BN29" s="104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6"/>
      <c r="CS29" s="104"/>
      <c r="CT29" s="105"/>
      <c r="CU29" s="105"/>
      <c r="CV29" s="105"/>
      <c r="CW29" s="105"/>
      <c r="CX29" s="105"/>
      <c r="CY29" s="105"/>
      <c r="CZ29" s="105"/>
      <c r="DA29" s="105"/>
      <c r="DB29" s="105"/>
      <c r="DC29" s="105"/>
      <c r="DD29" s="105"/>
      <c r="DE29" s="105"/>
      <c r="DF29" s="105"/>
      <c r="DG29" s="105"/>
      <c r="DH29" s="105"/>
      <c r="DI29" s="107"/>
      <c r="DJ29" s="107"/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U29" s="107"/>
      <c r="DV29" s="107"/>
      <c r="DW29" s="106"/>
      <c r="DX29" s="128"/>
      <c r="DY29" s="128"/>
      <c r="DZ29" s="128"/>
      <c r="EA29" s="128"/>
      <c r="EB29" s="128"/>
      <c r="EC29" s="128"/>
      <c r="ED29" s="128"/>
      <c r="EE29" s="128"/>
      <c r="EF29" s="128"/>
      <c r="EG29" s="128"/>
      <c r="EH29" s="128"/>
      <c r="EI29" s="128"/>
      <c r="EJ29" s="128"/>
      <c r="EK29" s="128"/>
    </row>
    <row r="30" spans="1:141" x14ac:dyDescent="0.4">
      <c r="A30" s="74">
        <f t="shared" si="0"/>
        <v>2</v>
      </c>
      <c r="B30" s="74">
        <v>26</v>
      </c>
      <c r="C30" s="127">
        <f>DATE(Jaartal,October!$B$3,October!$B30)</f>
        <v>44130</v>
      </c>
      <c r="D30" s="104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6"/>
      <c r="AI30" s="104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6"/>
      <c r="BN30" s="104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6"/>
      <c r="CS30" s="104"/>
      <c r="CT30" s="105"/>
      <c r="CU30" s="105"/>
      <c r="CV30" s="105"/>
      <c r="CW30" s="105"/>
      <c r="CX30" s="105"/>
      <c r="CY30" s="105"/>
      <c r="CZ30" s="105"/>
      <c r="DA30" s="105"/>
      <c r="DB30" s="105"/>
      <c r="DC30" s="105"/>
      <c r="DD30" s="105"/>
      <c r="DE30" s="105"/>
      <c r="DF30" s="105"/>
      <c r="DG30" s="105"/>
      <c r="DH30" s="105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U30" s="107"/>
      <c r="DV30" s="107"/>
      <c r="DW30" s="106"/>
      <c r="DX30" s="128"/>
      <c r="DY30" s="128"/>
      <c r="DZ30" s="128"/>
      <c r="EA30" s="128"/>
      <c r="EB30" s="128"/>
      <c r="EC30" s="128"/>
      <c r="ED30" s="128"/>
      <c r="EE30" s="128"/>
      <c r="EF30" s="128"/>
      <c r="EG30" s="128"/>
      <c r="EH30" s="128"/>
      <c r="EI30" s="128"/>
      <c r="EJ30" s="128"/>
      <c r="EK30" s="128"/>
    </row>
    <row r="31" spans="1:141" x14ac:dyDescent="0.4">
      <c r="A31" s="74">
        <f t="shared" si="0"/>
        <v>3</v>
      </c>
      <c r="B31" s="74">
        <v>27</v>
      </c>
      <c r="C31" s="127">
        <f>DATE(Jaartal,October!$B$3,October!$B31)</f>
        <v>44131</v>
      </c>
      <c r="D31" s="104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6"/>
      <c r="AI31" s="104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6"/>
      <c r="BN31" s="104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6"/>
      <c r="CS31" s="104"/>
      <c r="CT31" s="105"/>
      <c r="CU31" s="105"/>
      <c r="CV31" s="105"/>
      <c r="CW31" s="105"/>
      <c r="CX31" s="105"/>
      <c r="CY31" s="105"/>
      <c r="CZ31" s="105"/>
      <c r="DA31" s="105"/>
      <c r="DB31" s="105"/>
      <c r="DC31" s="105"/>
      <c r="DD31" s="105"/>
      <c r="DE31" s="105"/>
      <c r="DF31" s="105"/>
      <c r="DG31" s="105"/>
      <c r="DH31" s="105"/>
      <c r="DI31" s="107"/>
      <c r="DJ31" s="107"/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U31" s="107"/>
      <c r="DV31" s="107"/>
      <c r="DW31" s="106"/>
      <c r="DX31" s="128"/>
      <c r="DY31" s="128"/>
      <c r="DZ31" s="128"/>
      <c r="EA31" s="128"/>
      <c r="EB31" s="128"/>
      <c r="EC31" s="128"/>
      <c r="ED31" s="128"/>
      <c r="EE31" s="128"/>
      <c r="EF31" s="128"/>
      <c r="EG31" s="128"/>
      <c r="EH31" s="128"/>
      <c r="EI31" s="128"/>
      <c r="EJ31" s="128"/>
      <c r="EK31" s="128"/>
    </row>
    <row r="32" spans="1:141" x14ac:dyDescent="0.4">
      <c r="A32" s="74">
        <f t="shared" si="0"/>
        <v>4</v>
      </c>
      <c r="B32" s="74">
        <v>28</v>
      </c>
      <c r="C32" s="127">
        <f>DATE(Jaartal,October!$B$3,October!$B32)</f>
        <v>44132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6"/>
      <c r="AI32" s="104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6"/>
      <c r="BN32" s="104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6"/>
      <c r="CS32" s="104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6"/>
      <c r="DX32" s="128"/>
      <c r="DY32" s="128"/>
      <c r="DZ32" s="128"/>
      <c r="EA32" s="128"/>
      <c r="EB32" s="128"/>
      <c r="EC32" s="128"/>
      <c r="ED32" s="128"/>
      <c r="EE32" s="128"/>
      <c r="EF32" s="128"/>
      <c r="EG32" s="128"/>
      <c r="EH32" s="128"/>
      <c r="EI32" s="128"/>
      <c r="EJ32" s="128"/>
      <c r="EK32" s="128"/>
    </row>
    <row r="33" spans="1:141" x14ac:dyDescent="0.4">
      <c r="A33" s="74">
        <f t="shared" si="0"/>
        <v>5</v>
      </c>
      <c r="B33" s="74">
        <v>29</v>
      </c>
      <c r="C33" s="127">
        <f>DATE(Jaartal,October!$B$3,October!$B33)</f>
        <v>44133</v>
      </c>
      <c r="D33" s="104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6"/>
      <c r="AI33" s="104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6"/>
      <c r="BN33" s="104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6"/>
      <c r="CS33" s="104"/>
      <c r="CT33" s="105"/>
      <c r="CU33" s="105"/>
      <c r="CV33" s="105"/>
      <c r="CW33" s="105"/>
      <c r="CX33" s="105"/>
      <c r="CY33" s="105"/>
      <c r="CZ33" s="105"/>
      <c r="DA33" s="105"/>
      <c r="DB33" s="105"/>
      <c r="DC33" s="105"/>
      <c r="DD33" s="105"/>
      <c r="DE33" s="105"/>
      <c r="DF33" s="105"/>
      <c r="DG33" s="105"/>
      <c r="DH33" s="105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6"/>
      <c r="DX33" s="128"/>
      <c r="DY33" s="128"/>
      <c r="DZ33" s="128"/>
      <c r="EA33" s="128"/>
      <c r="EB33" s="128"/>
      <c r="EC33" s="128"/>
      <c r="ED33" s="128"/>
      <c r="EE33" s="128"/>
      <c r="EF33" s="128"/>
      <c r="EG33" s="128"/>
      <c r="EH33" s="128"/>
      <c r="EI33" s="128"/>
      <c r="EJ33" s="128"/>
      <c r="EK33" s="128"/>
    </row>
    <row r="34" spans="1:141" x14ac:dyDescent="0.4">
      <c r="A34" s="74">
        <f t="shared" si="0"/>
        <v>6</v>
      </c>
      <c r="B34" s="74">
        <v>30</v>
      </c>
      <c r="C34" s="127">
        <f>DATE(Jaartal,October!$B$3,October!$B34)</f>
        <v>44134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6"/>
      <c r="AI34" s="104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6"/>
      <c r="BN34" s="104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6"/>
      <c r="CS34" s="104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5"/>
      <c r="DH34" s="105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6"/>
      <c r="DX34" s="128"/>
      <c r="DY34" s="128"/>
      <c r="DZ34" s="128"/>
      <c r="EA34" s="128"/>
      <c r="EB34" s="128"/>
      <c r="EC34" s="128"/>
      <c r="ED34" s="128"/>
      <c r="EE34" s="128"/>
      <c r="EF34" s="128"/>
      <c r="EG34" s="128"/>
      <c r="EH34" s="128"/>
      <c r="EI34" s="128"/>
      <c r="EJ34" s="128"/>
      <c r="EK34" s="128"/>
    </row>
    <row r="35" spans="1:141" x14ac:dyDescent="0.4">
      <c r="A35" s="74">
        <f t="shared" si="0"/>
        <v>7</v>
      </c>
      <c r="B35" s="74">
        <v>31</v>
      </c>
      <c r="C35" s="127">
        <f>DATE(Jaartal,October!$B$3,October!$B35)</f>
        <v>44135</v>
      </c>
      <c r="D35" s="104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6"/>
      <c r="AI35" s="104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6"/>
      <c r="BN35" s="104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6"/>
      <c r="CS35" s="108"/>
      <c r="CT35" s="105"/>
      <c r="CU35" s="105"/>
      <c r="CV35" s="105"/>
      <c r="CW35" s="105"/>
      <c r="CX35" s="105"/>
      <c r="CY35" s="105"/>
      <c r="CZ35" s="105"/>
      <c r="DA35" s="105"/>
      <c r="DB35" s="105"/>
      <c r="DC35" s="105"/>
      <c r="DD35" s="105"/>
      <c r="DE35" s="105"/>
      <c r="DF35" s="105"/>
      <c r="DG35" s="105"/>
      <c r="DH35" s="105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6"/>
      <c r="DX35" s="128"/>
      <c r="DY35" s="128"/>
      <c r="DZ35" s="128"/>
      <c r="EA35" s="128"/>
      <c r="EB35" s="128"/>
      <c r="EC35" s="128"/>
      <c r="ED35" s="128"/>
      <c r="EE35" s="128"/>
      <c r="EF35" s="128"/>
      <c r="EG35" s="128"/>
      <c r="EH35" s="128"/>
      <c r="EI35" s="128"/>
      <c r="EJ35" s="128"/>
      <c r="EK35" s="128"/>
    </row>
    <row r="36" spans="1:141" x14ac:dyDescent="0.4">
      <c r="BR36" s="128"/>
      <c r="BS36" s="128"/>
      <c r="BT36" s="128"/>
      <c r="BU36" s="128"/>
      <c r="BV36" s="128"/>
      <c r="BY36" s="128"/>
      <c r="BZ36" s="128"/>
      <c r="CB36" s="128"/>
      <c r="CC36" s="128"/>
      <c r="CD36" s="128"/>
      <c r="CE36" s="128"/>
      <c r="CF36" s="128"/>
      <c r="CG36" s="128"/>
      <c r="CH36" s="128"/>
      <c r="CI36" s="128"/>
      <c r="CJ36" s="128"/>
      <c r="CK36" s="128"/>
      <c r="CL36" s="128"/>
      <c r="CM36" s="128"/>
      <c r="CN36" s="128"/>
      <c r="CO36" s="128"/>
      <c r="CP36" s="128"/>
      <c r="CQ36" s="128"/>
      <c r="CW36" s="128"/>
      <c r="CX36" s="128"/>
      <c r="CY36" s="128"/>
      <c r="CZ36" s="128"/>
      <c r="DA36" s="128"/>
      <c r="DD36" s="128"/>
      <c r="DE36" s="128"/>
      <c r="DG36" s="128"/>
      <c r="DH36" s="128"/>
      <c r="DI36" s="128"/>
      <c r="DJ36" s="128"/>
      <c r="DK36" s="128"/>
      <c r="DL36" s="128"/>
      <c r="DM36" s="128"/>
      <c r="DN36" s="128"/>
      <c r="DO36" s="128"/>
      <c r="DP36" s="128"/>
      <c r="DQ36" s="128"/>
      <c r="DR36" s="128"/>
      <c r="DS36" s="128"/>
      <c r="DT36" s="128"/>
      <c r="DU36" s="128"/>
      <c r="DV36" s="128"/>
    </row>
    <row r="38" spans="1:141" ht="13.5" thickBot="1" x14ac:dyDescent="0.45"/>
    <row r="39" spans="1:141" ht="13.5" thickBot="1" x14ac:dyDescent="0.45">
      <c r="D39" s="109" t="s">
        <v>7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1"/>
    </row>
    <row r="40" spans="1:141" ht="13.5" thickBot="1" x14ac:dyDescent="0.45">
      <c r="D40" s="112">
        <v>1</v>
      </c>
      <c r="E40" s="113" t="s">
        <v>4</v>
      </c>
      <c r="F40" s="113"/>
      <c r="G40" s="113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5"/>
    </row>
    <row r="41" spans="1:141" ht="13.5" thickBot="1" x14ac:dyDescent="0.45">
      <c r="D41" s="116">
        <v>2</v>
      </c>
      <c r="E41" s="117" t="s">
        <v>79</v>
      </c>
      <c r="F41" s="117"/>
      <c r="G41" s="117"/>
      <c r="H41" s="117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9"/>
    </row>
    <row r="42" spans="1:141" ht="13.5" thickBot="1" x14ac:dyDescent="0.45">
      <c r="D42" s="120">
        <v>3</v>
      </c>
      <c r="E42" s="117" t="s">
        <v>66</v>
      </c>
      <c r="F42" s="117"/>
      <c r="G42" s="117"/>
      <c r="H42" s="117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9"/>
    </row>
    <row r="43" spans="1:141" ht="13.5" thickBot="1" x14ac:dyDescent="0.45">
      <c r="D43" s="121"/>
      <c r="E43" s="122" t="s">
        <v>80</v>
      </c>
      <c r="F43" s="122"/>
      <c r="G43" s="122"/>
      <c r="H43" s="12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4"/>
    </row>
    <row r="44" spans="1:141" x14ac:dyDescent="0.4">
      <c r="D44" s="129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1"/>
      <c r="AI44" s="131"/>
      <c r="AR44" s="130"/>
      <c r="AS44" s="130"/>
      <c r="AV44" s="130"/>
      <c r="BW44" s="130"/>
      <c r="BX44" s="130"/>
      <c r="CA44" s="130"/>
      <c r="DB44" s="130"/>
      <c r="DC44" s="130"/>
      <c r="DF44" s="130"/>
    </row>
    <row r="52" spans="33:34" x14ac:dyDescent="0.4">
      <c r="AG52" s="128"/>
      <c r="AH52" s="128"/>
    </row>
    <row r="53" spans="33:34" x14ac:dyDescent="0.4">
      <c r="AG53" s="128"/>
      <c r="AH53" s="128"/>
    </row>
    <row r="54" spans="33:34" x14ac:dyDescent="0.4">
      <c r="AG54" s="128"/>
      <c r="AH54" s="128"/>
    </row>
    <row r="55" spans="33:34" x14ac:dyDescent="0.4">
      <c r="AG55" s="128"/>
      <c r="AH55" s="128"/>
    </row>
    <row r="56" spans="33:34" x14ac:dyDescent="0.4">
      <c r="AG56" s="128"/>
      <c r="AH56" s="128"/>
    </row>
  </sheetData>
  <sheetProtection sheet="1" objects="1" scenarios="1" selectLockedCells="1"/>
  <mergeCells count="13">
    <mergeCell ref="D39:AI39"/>
    <mergeCell ref="E40:AI40"/>
    <mergeCell ref="E41:AI41"/>
    <mergeCell ref="E42:AI42"/>
    <mergeCell ref="E43:AI43"/>
    <mergeCell ref="D1:AH1"/>
    <mergeCell ref="AI1:BM1"/>
    <mergeCell ref="BN1:CR1"/>
    <mergeCell ref="CS1:DW1"/>
    <mergeCell ref="AH3:AH4"/>
    <mergeCell ref="BM3:BM4"/>
    <mergeCell ref="CR3:CR4"/>
    <mergeCell ref="DW3:DW4"/>
  </mergeCells>
  <conditionalFormatting sqref="D5:L35 O5:P35 AT5:AU35 BY5:BZ35 DD5:DE35 R5:AQ35 AW5:BV35 CB5:DA35 DG5:DW35">
    <cfRule type="expression" dxfId="139" priority="33" stopIfTrue="1">
      <formula>D5=3</formula>
    </cfRule>
    <cfRule type="expression" dxfId="138" priority="34" stopIfTrue="1">
      <formula>D5=2</formula>
    </cfRule>
    <cfRule type="expression" dxfId="137" priority="35" stopIfTrue="1">
      <formula>D5=1</formula>
    </cfRule>
    <cfRule type="expression" dxfId="136" priority="36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135" priority="29" stopIfTrue="1">
      <formula>M5=3</formula>
    </cfRule>
    <cfRule type="expression" dxfId="134" priority="30" stopIfTrue="1">
      <formula>M5=2</formula>
    </cfRule>
    <cfRule type="expression" dxfId="133" priority="31" stopIfTrue="1">
      <formula>M5=1</formula>
    </cfRule>
    <cfRule type="expression" dxfId="132" priority="32" stopIfTrue="1">
      <formula>IF($A5=1,1,IF($A5=7,1,IF(M$2="Q",IF($A5=2,IF($B5&lt;8,IF(MOD($B$3,3)&lt;&gt;0,1,0),1),1),IF(M$2="M",IF($A5=2,IF($B5&gt;7,1,0),1),IF(M$2="W",IF($A5=2,0,1),0)))))</formula>
    </cfRule>
  </conditionalFormatting>
  <conditionalFormatting sqref="AR5:AS35">
    <cfRule type="expression" dxfId="131" priority="25" stopIfTrue="1">
      <formula>AR5=3</formula>
    </cfRule>
    <cfRule type="expression" dxfId="130" priority="26" stopIfTrue="1">
      <formula>AR5=2</formula>
    </cfRule>
    <cfRule type="expression" dxfId="129" priority="27" stopIfTrue="1">
      <formula>AR5=1</formula>
    </cfRule>
    <cfRule type="expression" dxfId="128" priority="28" stopIfTrue="1">
      <formula>IF($A5=1,1,IF($A5=7,1,IF(AR$2="Q",IF($A5=2,IF($B5&lt;8,IF(MOD($B$3,3)&lt;&gt;0,1,0),1),1),IF(AR$2="M",IF($A5=2,IF($B5&gt;7,1,0),1),IF(AR$2="W",IF($A5=2,0,1),0)))))</formula>
    </cfRule>
  </conditionalFormatting>
  <conditionalFormatting sqref="BW5:BX35">
    <cfRule type="expression" dxfId="127" priority="21" stopIfTrue="1">
      <formula>BW5=3</formula>
    </cfRule>
    <cfRule type="expression" dxfId="126" priority="22" stopIfTrue="1">
      <formula>BW5=2</formula>
    </cfRule>
    <cfRule type="expression" dxfId="125" priority="23" stopIfTrue="1">
      <formula>BW5=1</formula>
    </cfRule>
    <cfRule type="expression" dxfId="124" priority="24" stopIfTrue="1">
      <formula>IF($A5=1,1,IF($A5=7,1,IF(BW$2="Q",IF($A5=2,IF($B5&lt;8,IF(MOD($B$3,3)&lt;&gt;0,1,0),1),1),IF(BW$2="M",IF($A5=2,IF($B5&gt;7,1,0),1),IF(BW$2="W",IF($A5=2,0,1),0)))))</formula>
    </cfRule>
  </conditionalFormatting>
  <conditionalFormatting sqref="DB5:DC35">
    <cfRule type="expression" dxfId="123" priority="17" stopIfTrue="1">
      <formula>DB5=3</formula>
    </cfRule>
    <cfRule type="expression" dxfId="122" priority="18" stopIfTrue="1">
      <formula>DB5=2</formula>
    </cfRule>
    <cfRule type="expression" dxfId="121" priority="19" stopIfTrue="1">
      <formula>DB5=1</formula>
    </cfRule>
    <cfRule type="expression" dxfId="120" priority="20" stopIfTrue="1">
      <formula>IF($A5=1,1,IF($A5=7,1,IF(DB$2="Q",IF($A5=2,IF($B5&lt;8,IF(MOD($B$3,3)&lt;&gt;0,1,0),1),1),IF(DB$2="M",IF($A5=2,IF($B5&gt;7,1,0),1),IF(DB$2="W",IF($A5=2,0,1),0)))))</formula>
    </cfRule>
  </conditionalFormatting>
  <conditionalFormatting sqref="Q5:Q35">
    <cfRule type="expression" dxfId="119" priority="13" stopIfTrue="1">
      <formula>Q5=3</formula>
    </cfRule>
    <cfRule type="expression" dxfId="118" priority="14" stopIfTrue="1">
      <formula>Q5=2</formula>
    </cfRule>
    <cfRule type="expression" dxfId="117" priority="15" stopIfTrue="1">
      <formula>Q5=1</formula>
    </cfRule>
    <cfRule type="expression" dxfId="116" priority="16" stopIfTrue="1">
      <formula>IF($A5=1,1,IF($A5=7,1,IF(Q$2="Q",IF($A5=2,IF($B5&lt;8,IF(MOD($B$3,3)&lt;&gt;0,1,0),1),1),IF(Q$2="M",IF($A5=2,IF($B5&gt;7,1,0),1),IF(Q$2="W",IF($A5=2,0,1),0)))))</formula>
    </cfRule>
  </conditionalFormatting>
  <conditionalFormatting sqref="AV5:AV35">
    <cfRule type="expression" dxfId="115" priority="9" stopIfTrue="1">
      <formula>AV5=3</formula>
    </cfRule>
    <cfRule type="expression" dxfId="114" priority="10" stopIfTrue="1">
      <formula>AV5=2</formula>
    </cfRule>
    <cfRule type="expression" dxfId="113" priority="11" stopIfTrue="1">
      <formula>AV5=1</formula>
    </cfRule>
    <cfRule type="expression" dxfId="112" priority="12" stopIfTrue="1">
      <formula>IF($A5=1,1,IF($A5=7,1,IF(AV$2="Q",IF($A5=2,IF($B5&lt;8,IF(MOD($B$3,3)&lt;&gt;0,1,0),1),1),IF(AV$2="M",IF($A5=2,IF($B5&gt;7,1,0),1),IF(AV$2="W",IF($A5=2,0,1),0)))))</formula>
    </cfRule>
  </conditionalFormatting>
  <conditionalFormatting sqref="CA5:CA35">
    <cfRule type="expression" dxfId="111" priority="5" stopIfTrue="1">
      <formula>CA5=3</formula>
    </cfRule>
    <cfRule type="expression" dxfId="110" priority="6" stopIfTrue="1">
      <formula>CA5=2</formula>
    </cfRule>
    <cfRule type="expression" dxfId="109" priority="7" stopIfTrue="1">
      <formula>CA5=1</formula>
    </cfRule>
    <cfRule type="expression" dxfId="108" priority="8" stopIfTrue="1">
      <formula>IF($A5=1,1,IF($A5=7,1,IF(CA$2="Q",IF($A5=2,IF($B5&lt;8,IF(MOD($B$3,3)&lt;&gt;0,1,0),1),1),IF(CA$2="M",IF($A5=2,IF($B5&gt;7,1,0),1),IF(CA$2="W",IF($A5=2,0,1),0)))))</formula>
    </cfRule>
  </conditionalFormatting>
  <conditionalFormatting sqref="DF5:DF35">
    <cfRule type="expression" dxfId="107" priority="1" stopIfTrue="1">
      <formula>DF5=3</formula>
    </cfRule>
    <cfRule type="expression" dxfId="106" priority="2" stopIfTrue="1">
      <formula>DF5=2</formula>
    </cfRule>
    <cfRule type="expression" dxfId="105" priority="3" stopIfTrue="1">
      <formula>DF5=1</formula>
    </cfRule>
    <cfRule type="expression" dxfId="104" priority="4" stopIfTrue="1">
      <formula>IF($A5=1,1,IF($A5=7,1,IF(DF$2="Q",IF($A5=2,IF($B5&lt;8,IF(MOD($B$3,3)&lt;&gt;0,1,0),1),1),IF(DF$2="M",IF($A5=2,IF($B5&gt;7,1,0),1),IF(DF$2="W",IF($A5=2,0,1),0)))))</formula>
    </cfRule>
  </conditionalFormatting>
  <dataValidations count="4">
    <dataValidation type="list" allowBlank="1" showInputMessage="1" showErrorMessage="1" sqref="DB2:DC2 AR2:AS2 BW2:BX2 D2:AG2 AV2 CA2 DF2" xr:uid="{987C8B7D-1B7E-4252-9D17-4DCE7D2E375F}">
      <formula1>"D,W,M,Q"</formula1>
    </dataValidation>
    <dataValidation type="list" allowBlank="1" showInputMessage="1" showErrorMessage="1" sqref="DW5:DW35 CR5:CR35 BM5:BM35 AH5:AH35" xr:uid="{A8957C7B-6914-4821-AF8F-F646839F115F}">
      <formula1>List_Personen</formula1>
    </dataValidation>
    <dataValidation type="list" allowBlank="1" showInputMessage="1" showErrorMessage="1" sqref="C3" xr:uid="{8B555F4D-FA25-4DCF-8470-93B18B2DA754}">
      <formula1>List_Maanden</formula1>
    </dataValidation>
    <dataValidation type="list" allowBlank="1" showInputMessage="1" showErrorMessage="1" sqref="BN5:CQ35 D5:AG35 AI5:BL35 CS5:DV35" xr:uid="{69582DDC-8FAE-4F75-8D26-A074DFD06655}">
      <formula1>Status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68E75-7766-423A-9F28-7C86AE3C0648}">
  <sheetPr codeName="Sheet8"/>
  <dimension ref="A1:EK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3.15" x14ac:dyDescent="0.4"/>
  <cols>
    <col min="1" max="1" width="8.796875" style="74" hidden="1" customWidth="1"/>
    <col min="2" max="2" width="4.265625" style="74" hidden="1" customWidth="1"/>
    <col min="3" max="3" width="26.53125" style="74" bestFit="1" customWidth="1"/>
    <col min="4" max="5" width="3.19921875" style="74" bestFit="1" customWidth="1"/>
    <col min="6" max="8" width="3.19921875" style="74" customWidth="1"/>
    <col min="9" max="10" width="3.19921875" style="74" bestFit="1" customWidth="1"/>
    <col min="11" max="18" width="3.19921875" style="74" customWidth="1"/>
    <col min="19" max="19" width="3.19921875" style="74" bestFit="1" customWidth="1"/>
    <col min="20" max="24" width="3.19921875" style="74" customWidth="1"/>
    <col min="25" max="25" width="3.19921875" style="74" bestFit="1" customWidth="1"/>
    <col min="26" max="32" width="3.19921875" style="74" customWidth="1"/>
    <col min="33" max="33" width="2.73046875" style="74" bestFit="1" customWidth="1"/>
    <col min="34" max="34" width="14" style="74" bestFit="1" customWidth="1"/>
    <col min="35" max="39" width="3.19921875" style="74" bestFit="1" customWidth="1"/>
    <col min="40" max="46" width="3.19921875" style="74" customWidth="1"/>
    <col min="47" max="47" width="3.19921875" style="74" bestFit="1" customWidth="1"/>
    <col min="48" max="48" width="3.19921875" style="74" customWidth="1"/>
    <col min="49" max="49" width="3.19921875" style="74" bestFit="1" customWidth="1"/>
    <col min="50" max="50" width="2.73046875" style="74" bestFit="1" customWidth="1"/>
    <col min="51" max="64" width="2.73046875" style="74" customWidth="1"/>
    <col min="65" max="65" width="14" style="74" bestFit="1" customWidth="1"/>
    <col min="66" max="70" width="3.19921875" style="74" bestFit="1" customWidth="1"/>
    <col min="71" max="77" width="3.19921875" style="74" customWidth="1"/>
    <col min="78" max="78" width="3.19921875" style="74" bestFit="1" customWidth="1"/>
    <col min="79" max="79" width="3.19921875" style="74" customWidth="1"/>
    <col min="80" max="80" width="3.19921875" style="74" bestFit="1" customWidth="1"/>
    <col min="81" max="81" width="2.73046875" style="74" bestFit="1" customWidth="1"/>
    <col min="82" max="95" width="2.73046875" style="74" customWidth="1"/>
    <col min="96" max="96" width="14" style="74" bestFit="1" customWidth="1"/>
    <col min="97" max="102" width="3.19921875" style="74" bestFit="1" customWidth="1"/>
    <col min="103" max="110" width="3.19921875" style="74" customWidth="1"/>
    <col min="111" max="111" width="3.19921875" style="74" bestFit="1" customWidth="1"/>
    <col min="112" max="112" width="2.73046875" style="74" bestFit="1" customWidth="1"/>
    <col min="113" max="126" width="2.73046875" style="74" customWidth="1"/>
    <col min="127" max="127" width="14" style="74" bestFit="1" customWidth="1"/>
    <col min="128" max="128" width="6" style="74" customWidth="1"/>
    <col min="129" max="16384" width="9.06640625" style="74"/>
  </cols>
  <sheetData>
    <row r="1" spans="1:141" ht="18.399999999999999" thickBot="1" x14ac:dyDescent="0.6">
      <c r="C1" s="75" t="s">
        <v>5</v>
      </c>
      <c r="D1" s="76" t="s">
        <v>44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8"/>
      <c r="AI1" s="79" t="s">
        <v>45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1"/>
      <c r="BN1" s="82" t="s">
        <v>46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4"/>
      <c r="CS1" s="85" t="s">
        <v>47</v>
      </c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7"/>
    </row>
    <row r="2" spans="1:141" ht="13.5" thickBot="1" x14ac:dyDescent="0.45">
      <c r="A2" s="74" t="s">
        <v>13</v>
      </c>
      <c r="B2" s="74" t="s">
        <v>14</v>
      </c>
      <c r="C2" s="88" t="s">
        <v>3</v>
      </c>
      <c r="D2" s="89" t="str">
        <f>+Template!D2</f>
        <v>D</v>
      </c>
      <c r="E2" s="90" t="str">
        <f>+Template!E2</f>
        <v>D</v>
      </c>
      <c r="F2" s="90" t="str">
        <f>+Template!F2</f>
        <v>D</v>
      </c>
      <c r="G2" s="90" t="str">
        <f>+Template!G2</f>
        <v>D</v>
      </c>
      <c r="H2" s="90" t="str">
        <f>+Template!H2</f>
        <v>D</v>
      </c>
      <c r="I2" s="91" t="str">
        <f>+Template!I2</f>
        <v>D</v>
      </c>
      <c r="J2" s="91" t="str">
        <f>+Template!J2</f>
        <v>D</v>
      </c>
      <c r="K2" s="91" t="str">
        <f>+Template!K2</f>
        <v>D</v>
      </c>
      <c r="L2" s="91" t="str">
        <f>+Template!L2</f>
        <v>D</v>
      </c>
      <c r="M2" s="91" t="s">
        <v>2</v>
      </c>
      <c r="N2" s="91" t="s">
        <v>2</v>
      </c>
      <c r="O2" s="91" t="str">
        <f>+Template!O2</f>
        <v>D</v>
      </c>
      <c r="P2" s="91" t="str">
        <f>+Template!P2</f>
        <v>D</v>
      </c>
      <c r="Q2" s="91" t="s">
        <v>2</v>
      </c>
      <c r="R2" s="91" t="str">
        <f>+Template!R2</f>
        <v>D</v>
      </c>
      <c r="S2" s="91" t="str">
        <f>+Template!S2</f>
        <v>D</v>
      </c>
      <c r="T2" s="91" t="str">
        <f>+Template!T2</f>
        <v>D</v>
      </c>
      <c r="U2" s="91" t="str">
        <f>+Template!U2</f>
        <v>D</v>
      </c>
      <c r="V2" s="91" t="str">
        <f>+Template!V2</f>
        <v>D</v>
      </c>
      <c r="W2" s="91" t="str">
        <f>+Template!W2</f>
        <v>D</v>
      </c>
      <c r="X2" s="91" t="str">
        <f>+Template!X2</f>
        <v>W</v>
      </c>
      <c r="Y2" s="91" t="str">
        <f>+Template!Y2</f>
        <v>W</v>
      </c>
      <c r="Z2" s="91" t="str">
        <f>+Template!Z2</f>
        <v>W</v>
      </c>
      <c r="AA2" s="91" t="str">
        <f>+Template!AA2</f>
        <v>W</v>
      </c>
      <c r="AB2" s="91" t="str">
        <f>+Template!AB2</f>
        <v>M</v>
      </c>
      <c r="AC2" s="91" t="str">
        <f>+Template!AC2</f>
        <v>M</v>
      </c>
      <c r="AD2" s="91" t="str">
        <f>+Template!AD2</f>
        <v>M</v>
      </c>
      <c r="AE2" s="91" t="str">
        <f>+Template!AE2</f>
        <v>M</v>
      </c>
      <c r="AF2" s="91" t="str">
        <f>+Template!AF2</f>
        <v>Q</v>
      </c>
      <c r="AG2" s="91" t="str">
        <f>+Template!AG2</f>
        <v>Q</v>
      </c>
      <c r="AH2" s="92"/>
      <c r="AI2" s="89" t="str">
        <f>+Template!D2</f>
        <v>D</v>
      </c>
      <c r="AJ2" s="90" t="str">
        <f>+Template!E2</f>
        <v>D</v>
      </c>
      <c r="AK2" s="90" t="str">
        <f>+Template!F2</f>
        <v>D</v>
      </c>
      <c r="AL2" s="90" t="str">
        <f>+Template!G2</f>
        <v>D</v>
      </c>
      <c r="AM2" s="90" t="str">
        <f>+Template!H2</f>
        <v>D</v>
      </c>
      <c r="AN2" s="90" t="str">
        <f>+Template!I2</f>
        <v>D</v>
      </c>
      <c r="AO2" s="90" t="str">
        <f>+Template!J2</f>
        <v>D</v>
      </c>
      <c r="AP2" s="90" t="str">
        <f>+Template!K2</f>
        <v>D</v>
      </c>
      <c r="AQ2" s="90" t="str">
        <f>+Template!L2</f>
        <v>D</v>
      </c>
      <c r="AR2" s="91" t="s">
        <v>2</v>
      </c>
      <c r="AS2" s="91" t="s">
        <v>2</v>
      </c>
      <c r="AT2" s="90" t="str">
        <f>+Template!O2</f>
        <v>D</v>
      </c>
      <c r="AU2" s="91" t="str">
        <f>+Template!P2</f>
        <v>D</v>
      </c>
      <c r="AV2" s="91" t="s">
        <v>2</v>
      </c>
      <c r="AW2" s="91" t="str">
        <f>+Template!R2</f>
        <v>D</v>
      </c>
      <c r="AX2" s="91" t="str">
        <f>+Template!S2</f>
        <v>D</v>
      </c>
      <c r="AY2" s="91" t="str">
        <f>+Template!T2</f>
        <v>D</v>
      </c>
      <c r="AZ2" s="91" t="str">
        <f>+Template!U2</f>
        <v>D</v>
      </c>
      <c r="BA2" s="91" t="str">
        <f>+Template!V2</f>
        <v>D</v>
      </c>
      <c r="BB2" s="91" t="str">
        <f>+Template!W2</f>
        <v>D</v>
      </c>
      <c r="BC2" s="91" t="str">
        <f>+Template!X2</f>
        <v>W</v>
      </c>
      <c r="BD2" s="91" t="str">
        <f>+Template!Y2</f>
        <v>W</v>
      </c>
      <c r="BE2" s="91" t="str">
        <f>+Template!Z2</f>
        <v>W</v>
      </c>
      <c r="BF2" s="91" t="str">
        <f>+Template!AA2</f>
        <v>W</v>
      </c>
      <c r="BG2" s="91" t="str">
        <f>+Template!AB2</f>
        <v>M</v>
      </c>
      <c r="BH2" s="91" t="str">
        <f>+Template!AC2</f>
        <v>M</v>
      </c>
      <c r="BI2" s="91" t="str">
        <f>+Template!AD2</f>
        <v>M</v>
      </c>
      <c r="BJ2" s="91" t="str">
        <f>+Template!AE2</f>
        <v>M</v>
      </c>
      <c r="BK2" s="91" t="str">
        <f>+Template!AF2</f>
        <v>Q</v>
      </c>
      <c r="BL2" s="91" t="str">
        <f>+Template!AG2</f>
        <v>Q</v>
      </c>
      <c r="BM2" s="92"/>
      <c r="BN2" s="89" t="str">
        <f>+Template!D2</f>
        <v>D</v>
      </c>
      <c r="BO2" s="90" t="str">
        <f>+Template!E2</f>
        <v>D</v>
      </c>
      <c r="BP2" s="90" t="str">
        <f>+Template!F2</f>
        <v>D</v>
      </c>
      <c r="BQ2" s="90" t="str">
        <f>+Template!G2</f>
        <v>D</v>
      </c>
      <c r="BR2" s="90" t="str">
        <f>+Template!H2</f>
        <v>D</v>
      </c>
      <c r="BS2" s="90" t="str">
        <f>+Template!I2</f>
        <v>D</v>
      </c>
      <c r="BT2" s="90" t="str">
        <f>+Template!J2</f>
        <v>D</v>
      </c>
      <c r="BU2" s="90" t="str">
        <f>+Template!K2</f>
        <v>D</v>
      </c>
      <c r="BV2" s="90" t="str">
        <f>+Template!L2</f>
        <v>D</v>
      </c>
      <c r="BW2" s="91" t="s">
        <v>2</v>
      </c>
      <c r="BX2" s="91" t="s">
        <v>2</v>
      </c>
      <c r="BY2" s="90" t="str">
        <f>+Template!O2</f>
        <v>D</v>
      </c>
      <c r="BZ2" s="91" t="str">
        <f>+Template!P2</f>
        <v>D</v>
      </c>
      <c r="CA2" s="91" t="s">
        <v>2</v>
      </c>
      <c r="CB2" s="91" t="str">
        <f>+Template!R2</f>
        <v>D</v>
      </c>
      <c r="CC2" s="91" t="str">
        <f>+Template!S2</f>
        <v>D</v>
      </c>
      <c r="CD2" s="91" t="str">
        <f>+Template!T2</f>
        <v>D</v>
      </c>
      <c r="CE2" s="91" t="str">
        <f>+Template!U2</f>
        <v>D</v>
      </c>
      <c r="CF2" s="91" t="str">
        <f>+Template!V2</f>
        <v>D</v>
      </c>
      <c r="CG2" s="91" t="str">
        <f>+Template!W2</f>
        <v>D</v>
      </c>
      <c r="CH2" s="91" t="str">
        <f>+Template!X2</f>
        <v>W</v>
      </c>
      <c r="CI2" s="91" t="str">
        <f>+Template!Y2</f>
        <v>W</v>
      </c>
      <c r="CJ2" s="91" t="str">
        <f>+Template!Z2</f>
        <v>W</v>
      </c>
      <c r="CK2" s="91" t="str">
        <f>+Template!AA2</f>
        <v>W</v>
      </c>
      <c r="CL2" s="91" t="str">
        <f>+Template!AB2</f>
        <v>M</v>
      </c>
      <c r="CM2" s="91" t="str">
        <f>+Template!AC2</f>
        <v>M</v>
      </c>
      <c r="CN2" s="91" t="str">
        <f>+Template!AD2</f>
        <v>M</v>
      </c>
      <c r="CO2" s="91" t="str">
        <f>+Template!AE2</f>
        <v>M</v>
      </c>
      <c r="CP2" s="91" t="str">
        <f>+Template!AF2</f>
        <v>Q</v>
      </c>
      <c r="CQ2" s="91" t="str">
        <f>+Template!AG2</f>
        <v>Q</v>
      </c>
      <c r="CR2" s="92"/>
      <c r="CS2" s="89" t="str">
        <f>+Template!D2</f>
        <v>D</v>
      </c>
      <c r="CT2" s="90" t="str">
        <f>+Template!E2</f>
        <v>D</v>
      </c>
      <c r="CU2" s="90" t="str">
        <f>+Template!F2</f>
        <v>D</v>
      </c>
      <c r="CV2" s="90" t="str">
        <f>+Template!G2</f>
        <v>D</v>
      </c>
      <c r="CW2" s="90" t="str">
        <f>+Template!H2</f>
        <v>D</v>
      </c>
      <c r="CX2" s="91" t="str">
        <f>+Template!I2</f>
        <v>D</v>
      </c>
      <c r="CY2" s="91" t="str">
        <f>+Template!J2</f>
        <v>D</v>
      </c>
      <c r="CZ2" s="91" t="str">
        <f>+Template!K2</f>
        <v>D</v>
      </c>
      <c r="DA2" s="91" t="str">
        <f>+Template!L2</f>
        <v>D</v>
      </c>
      <c r="DB2" s="91" t="s">
        <v>2</v>
      </c>
      <c r="DC2" s="91" t="s">
        <v>2</v>
      </c>
      <c r="DD2" s="91" t="str">
        <f>+Template!O2</f>
        <v>D</v>
      </c>
      <c r="DE2" s="91" t="str">
        <f>+Template!P2</f>
        <v>D</v>
      </c>
      <c r="DF2" s="91" t="s">
        <v>2</v>
      </c>
      <c r="DG2" s="91" t="str">
        <f>+Template!R2</f>
        <v>D</v>
      </c>
      <c r="DH2" s="91" t="str">
        <f>+Template!S2</f>
        <v>D</v>
      </c>
      <c r="DI2" s="91" t="str">
        <f>+Template!T2</f>
        <v>D</v>
      </c>
      <c r="DJ2" s="91" t="str">
        <f>+Template!U2</f>
        <v>D</v>
      </c>
      <c r="DK2" s="91" t="str">
        <f>+Template!V2</f>
        <v>D</v>
      </c>
      <c r="DL2" s="91" t="str">
        <f>+Template!W2</f>
        <v>D</v>
      </c>
      <c r="DM2" s="91" t="str">
        <f>+Template!X2</f>
        <v>W</v>
      </c>
      <c r="DN2" s="91" t="str">
        <f>+Template!Y2</f>
        <v>W</v>
      </c>
      <c r="DO2" s="91" t="str">
        <f>+Template!Z2</f>
        <v>W</v>
      </c>
      <c r="DP2" s="91" t="str">
        <f>+Template!AA2</f>
        <v>W</v>
      </c>
      <c r="DQ2" s="91" t="str">
        <f>+Template!AB2</f>
        <v>M</v>
      </c>
      <c r="DR2" s="91" t="str">
        <f>+Template!AC2</f>
        <v>M</v>
      </c>
      <c r="DS2" s="91" t="str">
        <f>+Template!AD2</f>
        <v>M</v>
      </c>
      <c r="DT2" s="91" t="str">
        <f>+Template!AE2</f>
        <v>M</v>
      </c>
      <c r="DU2" s="91" t="str">
        <f>+Template!AF2</f>
        <v>Q</v>
      </c>
      <c r="DV2" s="91" t="str">
        <f>+Template!AG2</f>
        <v>Q</v>
      </c>
      <c r="DW2" s="92"/>
    </row>
    <row r="3" spans="1:141" ht="150" x14ac:dyDescent="0.4">
      <c r="B3" s="74">
        <f>VLOOKUP(C3,Data!E2:F13,2,FALSE)</f>
        <v>11</v>
      </c>
      <c r="C3" s="93" t="s">
        <v>11</v>
      </c>
      <c r="D3" s="94" t="str">
        <f>+Template!D3</f>
        <v>Quick environment check</v>
      </c>
      <c r="E3" s="95" t="str">
        <f>+Template!E3</f>
        <v>Health Analyzer Issues</v>
      </c>
      <c r="F3" s="95" t="str">
        <f>+Template!F3</f>
        <v>Content Database Status</v>
      </c>
      <c r="G3" s="95" t="str">
        <f>+Template!G3</f>
        <v>Upgrade Status Servers</v>
      </c>
      <c r="H3" s="95" t="str">
        <f>+Template!H3</f>
        <v>Upgrade Status Databases</v>
      </c>
      <c r="I3" s="95" t="str">
        <f>+Template!I3</f>
        <v>Failed Timer Jobs</v>
      </c>
      <c r="J3" s="95" t="str">
        <f>+Template!J3</f>
        <v>Deployment Status Solutions</v>
      </c>
      <c r="K3" s="95" t="str">
        <f>+Template!K3</f>
        <v>Content Database Size</v>
      </c>
      <c r="L3" s="95" t="str">
        <f>+Template!L3</f>
        <v>Service Application Status</v>
      </c>
      <c r="M3" s="95" t="s">
        <v>98</v>
      </c>
      <c r="N3" s="95" t="s">
        <v>99</v>
      </c>
      <c r="O3" s="95" t="str">
        <f>+Template!O3</f>
        <v>Search Topology</v>
      </c>
      <c r="P3" s="95" t="str">
        <f>+Template!P3</f>
        <v>Search Gatherer Logs</v>
      </c>
      <c r="Q3" s="95" t="s">
        <v>100</v>
      </c>
      <c r="R3" s="95" t="str">
        <f>+Template!R3</f>
        <v>Last Boot Time</v>
      </c>
      <c r="S3" s="95" t="str">
        <f>+Template!S3</f>
        <v>Running Services Check</v>
      </c>
      <c r="T3" s="95" t="str">
        <f>+Template!T3</f>
        <v>Scheduled Tasks</v>
      </c>
      <c r="U3" s="95" t="str">
        <f>+Template!U3</f>
        <v>Running websites en application pools</v>
      </c>
      <c r="V3" s="95" t="str">
        <f>+Template!V3</f>
        <v>Group Membership Check</v>
      </c>
      <c r="W3" s="95" t="str">
        <f>+Template!W3</f>
        <v>Backup Status</v>
      </c>
      <c r="X3" s="95" t="str">
        <f>+Template!X3</f>
        <v>Permissions Check</v>
      </c>
      <c r="Y3" s="95" t="str">
        <f>+Template!Y3</f>
        <v>New Updates</v>
      </c>
      <c r="Z3" s="95" t="str">
        <f>+Template!Z3</f>
        <v>Baseline Settings</v>
      </c>
      <c r="AA3" s="95" t="str">
        <f>+Template!AA3</f>
        <v>Access Check</v>
      </c>
      <c r="AB3" s="95" t="str">
        <f>+Template!AB3</f>
        <v>Missing Security Updates/Service Packs</v>
      </c>
      <c r="AC3" s="95" t="str">
        <f>+Template!AC3</f>
        <v>Policy Compliance</v>
      </c>
      <c r="AD3" s="95" t="str">
        <f>+Template!AD3</f>
        <v>Documentation Check</v>
      </c>
      <c r="AE3" s="95" t="str">
        <f>+Template!AE3</f>
        <v>SSL Certificates Check</v>
      </c>
      <c r="AF3" s="95" t="str">
        <f>+Template!AF3</f>
        <v>Disaster Recovery Test</v>
      </c>
      <c r="AG3" s="95" t="str">
        <f>+Template!AG3</f>
        <v>Lifecycle Check</v>
      </c>
      <c r="AH3" s="96" t="str">
        <f>+Template!AH3</f>
        <v>Performed by:</v>
      </c>
      <c r="AI3" s="94" t="str">
        <f>+Template!D3</f>
        <v>Quick environment check</v>
      </c>
      <c r="AJ3" s="95" t="str">
        <f>+Template!E3</f>
        <v>Health Analyzer Issues</v>
      </c>
      <c r="AK3" s="95" t="str">
        <f>+Template!F3</f>
        <v>Content Database Status</v>
      </c>
      <c r="AL3" s="95" t="str">
        <f>+Template!G3</f>
        <v>Upgrade Status Servers</v>
      </c>
      <c r="AM3" s="95" t="str">
        <f>+Template!H3</f>
        <v>Upgrade Status Databases</v>
      </c>
      <c r="AN3" s="95" t="str">
        <f>+Template!I3</f>
        <v>Failed Timer Jobs</v>
      </c>
      <c r="AO3" s="95" t="str">
        <f>+Template!J3</f>
        <v>Deployment Status Solutions</v>
      </c>
      <c r="AP3" s="95" t="str">
        <f>+Template!K3</f>
        <v>Content Database Size</v>
      </c>
      <c r="AQ3" s="95" t="str">
        <f>+Template!L3</f>
        <v>Service Application Status</v>
      </c>
      <c r="AR3" s="95" t="s">
        <v>98</v>
      </c>
      <c r="AS3" s="95" t="s">
        <v>99</v>
      </c>
      <c r="AT3" s="95" t="str">
        <f>+Template!O3</f>
        <v>Search Topology</v>
      </c>
      <c r="AU3" s="95" t="str">
        <f>+Template!P3</f>
        <v>Search Gatherer Logs</v>
      </c>
      <c r="AV3" s="95" t="s">
        <v>100</v>
      </c>
      <c r="AW3" s="95" t="str">
        <f>+Template!R3</f>
        <v>Last Boot Time</v>
      </c>
      <c r="AX3" s="95" t="str">
        <f>+Template!S3</f>
        <v>Running Services Check</v>
      </c>
      <c r="AY3" s="95" t="str">
        <f>+Template!T3</f>
        <v>Scheduled Tasks</v>
      </c>
      <c r="AZ3" s="95" t="str">
        <f>+Template!U3</f>
        <v>Running websites en application pools</v>
      </c>
      <c r="BA3" s="95" t="str">
        <f>+Template!V3</f>
        <v>Group Membership Check</v>
      </c>
      <c r="BB3" s="95" t="str">
        <f>+Template!W3</f>
        <v>Backup Status</v>
      </c>
      <c r="BC3" s="95" t="str">
        <f>+Template!X3</f>
        <v>Permissions Check</v>
      </c>
      <c r="BD3" s="95" t="str">
        <f>+Template!Y3</f>
        <v>New Updates</v>
      </c>
      <c r="BE3" s="95" t="str">
        <f>+Template!Z3</f>
        <v>Baseline Settings</v>
      </c>
      <c r="BF3" s="95" t="str">
        <f>+Template!AA3</f>
        <v>Access Check</v>
      </c>
      <c r="BG3" s="95" t="str">
        <f>+Template!AB3</f>
        <v>Missing Security Updates/Service Packs</v>
      </c>
      <c r="BH3" s="95" t="str">
        <f>+Template!AC3</f>
        <v>Policy Compliance</v>
      </c>
      <c r="BI3" s="95" t="str">
        <f>+Template!AD3</f>
        <v>Documentation Check</v>
      </c>
      <c r="BJ3" s="95" t="str">
        <f>+Template!AE3</f>
        <v>SSL Certificates Check</v>
      </c>
      <c r="BK3" s="95" t="str">
        <f>+Template!AF3</f>
        <v>Disaster Recovery Test</v>
      </c>
      <c r="BL3" s="95" t="str">
        <f>+Template!AG3</f>
        <v>Lifecycle Check</v>
      </c>
      <c r="BM3" s="96" t="str">
        <f>+Template!AH3</f>
        <v>Performed by:</v>
      </c>
      <c r="BN3" s="94" t="str">
        <f>+Template!D3</f>
        <v>Quick environment check</v>
      </c>
      <c r="BO3" s="95" t="str">
        <f>+Template!E3</f>
        <v>Health Analyzer Issues</v>
      </c>
      <c r="BP3" s="95" t="str">
        <f>+Template!F3</f>
        <v>Content Database Status</v>
      </c>
      <c r="BQ3" s="95" t="str">
        <f>+Template!G3</f>
        <v>Upgrade Status Servers</v>
      </c>
      <c r="BR3" s="95" t="str">
        <f>+Template!H3</f>
        <v>Upgrade Status Databases</v>
      </c>
      <c r="BS3" s="95" t="str">
        <f>+Template!I3</f>
        <v>Failed Timer Jobs</v>
      </c>
      <c r="BT3" s="95" t="str">
        <f>+Template!J3</f>
        <v>Deployment Status Solutions</v>
      </c>
      <c r="BU3" s="95" t="str">
        <f>+Template!K3</f>
        <v>Content Database Size</v>
      </c>
      <c r="BV3" s="95" t="str">
        <f>+Template!L3</f>
        <v>Service Application Status</v>
      </c>
      <c r="BW3" s="95" t="s">
        <v>98</v>
      </c>
      <c r="BX3" s="95" t="s">
        <v>99</v>
      </c>
      <c r="BY3" s="95" t="str">
        <f>+Template!O3</f>
        <v>Search Topology</v>
      </c>
      <c r="BZ3" s="95" t="str">
        <f>+Template!P3</f>
        <v>Search Gatherer Logs</v>
      </c>
      <c r="CA3" s="95" t="s">
        <v>100</v>
      </c>
      <c r="CB3" s="95" t="str">
        <f>+Template!R3</f>
        <v>Last Boot Time</v>
      </c>
      <c r="CC3" s="95" t="str">
        <f>+Template!S3</f>
        <v>Running Services Check</v>
      </c>
      <c r="CD3" s="95" t="str">
        <f>+Template!T3</f>
        <v>Scheduled Tasks</v>
      </c>
      <c r="CE3" s="95" t="str">
        <f>+Template!U3</f>
        <v>Running websites en application pools</v>
      </c>
      <c r="CF3" s="95" t="str">
        <f>+Template!V3</f>
        <v>Group Membership Check</v>
      </c>
      <c r="CG3" s="95" t="str">
        <f>+Template!W3</f>
        <v>Backup Status</v>
      </c>
      <c r="CH3" s="95" t="str">
        <f>+Template!X3</f>
        <v>Permissions Check</v>
      </c>
      <c r="CI3" s="95" t="str">
        <f>+Template!Y3</f>
        <v>New Updates</v>
      </c>
      <c r="CJ3" s="95" t="str">
        <f>+Template!Z3</f>
        <v>Baseline Settings</v>
      </c>
      <c r="CK3" s="95" t="str">
        <f>+Template!AA3</f>
        <v>Access Check</v>
      </c>
      <c r="CL3" s="95" t="str">
        <f>+Template!AB3</f>
        <v>Missing Security Updates/Service Packs</v>
      </c>
      <c r="CM3" s="95" t="str">
        <f>+Template!AC3</f>
        <v>Policy Compliance</v>
      </c>
      <c r="CN3" s="95" t="str">
        <f>+Template!AD3</f>
        <v>Documentation Check</v>
      </c>
      <c r="CO3" s="95" t="str">
        <f>+Template!AE3</f>
        <v>SSL Certificates Check</v>
      </c>
      <c r="CP3" s="95" t="str">
        <f>+Template!AF3</f>
        <v>Disaster Recovery Test</v>
      </c>
      <c r="CQ3" s="95" t="str">
        <f>+Template!AG3</f>
        <v>Lifecycle Check</v>
      </c>
      <c r="CR3" s="96" t="str">
        <f>+Template!AH3</f>
        <v>Performed by:</v>
      </c>
      <c r="CS3" s="94" t="str">
        <f>+Template!D3</f>
        <v>Quick environment check</v>
      </c>
      <c r="CT3" s="95" t="str">
        <f>+Template!E3</f>
        <v>Health Analyzer Issues</v>
      </c>
      <c r="CU3" s="95" t="str">
        <f>+Template!F3</f>
        <v>Content Database Status</v>
      </c>
      <c r="CV3" s="95" t="str">
        <f>+Template!G3</f>
        <v>Upgrade Status Servers</v>
      </c>
      <c r="CW3" s="95" t="str">
        <f>+Template!H3</f>
        <v>Upgrade Status Databases</v>
      </c>
      <c r="CX3" s="95" t="str">
        <f>+Template!I3</f>
        <v>Failed Timer Jobs</v>
      </c>
      <c r="CY3" s="95" t="str">
        <f>+Template!J3</f>
        <v>Deployment Status Solutions</v>
      </c>
      <c r="CZ3" s="95" t="str">
        <f>+Template!K3</f>
        <v>Content Database Size</v>
      </c>
      <c r="DA3" s="95" t="str">
        <f>+Template!L3</f>
        <v>Service Application Status</v>
      </c>
      <c r="DB3" s="95" t="s">
        <v>98</v>
      </c>
      <c r="DC3" s="95" t="s">
        <v>99</v>
      </c>
      <c r="DD3" s="95" t="str">
        <f>+Template!O3</f>
        <v>Search Topology</v>
      </c>
      <c r="DE3" s="95" t="str">
        <f>+Template!P3</f>
        <v>Search Gatherer Logs</v>
      </c>
      <c r="DF3" s="95" t="s">
        <v>100</v>
      </c>
      <c r="DG3" s="95" t="str">
        <f>+Template!R3</f>
        <v>Last Boot Time</v>
      </c>
      <c r="DH3" s="95" t="str">
        <f>+Template!S3</f>
        <v>Running Services Check</v>
      </c>
      <c r="DI3" s="95" t="str">
        <f>+Template!T3</f>
        <v>Scheduled Tasks</v>
      </c>
      <c r="DJ3" s="95" t="str">
        <f>+Template!U3</f>
        <v>Running websites en application pools</v>
      </c>
      <c r="DK3" s="95" t="str">
        <f>+Template!V3</f>
        <v>Group Membership Check</v>
      </c>
      <c r="DL3" s="95" t="str">
        <f>+Template!W3</f>
        <v>Backup Status</v>
      </c>
      <c r="DM3" s="95" t="str">
        <f>+Template!X3</f>
        <v>Permissions Check</v>
      </c>
      <c r="DN3" s="95" t="str">
        <f>+Template!Y3</f>
        <v>New Updates</v>
      </c>
      <c r="DO3" s="95" t="str">
        <f>+Template!Z3</f>
        <v>Baseline Settings</v>
      </c>
      <c r="DP3" s="95" t="str">
        <f>+Template!AA3</f>
        <v>Access Check</v>
      </c>
      <c r="DQ3" s="95" t="str">
        <f>+Template!AB3</f>
        <v>Missing Security Updates/Service Packs</v>
      </c>
      <c r="DR3" s="95" t="str">
        <f>+Template!AC3</f>
        <v>Policy Compliance</v>
      </c>
      <c r="DS3" s="95" t="str">
        <f>+Template!AD3</f>
        <v>Documentation Check</v>
      </c>
      <c r="DT3" s="95" t="str">
        <f>+Template!AE3</f>
        <v>SSL Certificates Check</v>
      </c>
      <c r="DU3" s="95" t="str">
        <f>+Template!AF3</f>
        <v>Disaster Recovery Test</v>
      </c>
      <c r="DV3" s="95" t="str">
        <f>+Template!AG3</f>
        <v>Lifecycle Check</v>
      </c>
      <c r="DW3" s="96" t="str">
        <f>+Template!AH3</f>
        <v>Performed by:</v>
      </c>
      <c r="DX3" s="125"/>
      <c r="DY3" s="126"/>
      <c r="DZ3" s="126"/>
      <c r="EA3" s="126"/>
    </row>
    <row r="4" spans="1:141" ht="23.25" customHeight="1" thickBot="1" x14ac:dyDescent="0.45">
      <c r="C4" s="97">
        <f>Jaartal</f>
        <v>2020</v>
      </c>
      <c r="D4" s="94">
        <f>+Template!D4</f>
        <v>1</v>
      </c>
      <c r="E4" s="95">
        <f>+Template!E4</f>
        <v>10</v>
      </c>
      <c r="F4" s="95">
        <f>+Template!F4</f>
        <v>11</v>
      </c>
      <c r="G4" s="95">
        <f>+Template!G4</f>
        <v>12</v>
      </c>
      <c r="H4" s="95">
        <f>+Template!H4</f>
        <v>13</v>
      </c>
      <c r="I4" s="95">
        <f>+Template!I4</f>
        <v>14</v>
      </c>
      <c r="J4" s="95">
        <f>+Template!J4</f>
        <v>15</v>
      </c>
      <c r="K4" s="95">
        <f>+Template!K4</f>
        <v>16</v>
      </c>
      <c r="L4" s="95">
        <f>+Template!L4</f>
        <v>17</v>
      </c>
      <c r="M4" s="95">
        <v>18</v>
      </c>
      <c r="N4" s="95">
        <v>19</v>
      </c>
      <c r="O4" s="95">
        <f>+Template!O4</f>
        <v>20</v>
      </c>
      <c r="P4" s="95">
        <f>+Template!P4</f>
        <v>21</v>
      </c>
      <c r="Q4" s="95">
        <v>22</v>
      </c>
      <c r="R4" s="95">
        <f>+Template!R4</f>
        <v>30</v>
      </c>
      <c r="S4" s="95">
        <f>+Template!S4</f>
        <v>31</v>
      </c>
      <c r="T4" s="95">
        <f>+Template!T4</f>
        <v>32</v>
      </c>
      <c r="U4" s="95">
        <f>+Template!U4</f>
        <v>33</v>
      </c>
      <c r="V4" s="95">
        <f>+Template!V4</f>
        <v>34</v>
      </c>
      <c r="W4" s="95">
        <f>+Template!W4</f>
        <v>40</v>
      </c>
      <c r="X4" s="95" t="str">
        <f>+Template!X4</f>
        <v>W01</v>
      </c>
      <c r="Y4" s="95" t="str">
        <f>+Template!Y4</f>
        <v>W02</v>
      </c>
      <c r="Z4" s="95" t="str">
        <f>+Template!Z4</f>
        <v>W03</v>
      </c>
      <c r="AA4" s="95" t="str">
        <f>+Template!AA4</f>
        <v>W04</v>
      </c>
      <c r="AB4" s="95" t="str">
        <f>+Template!AB4</f>
        <v>M01</v>
      </c>
      <c r="AC4" s="95" t="str">
        <f>+Template!AC4</f>
        <v>M02</v>
      </c>
      <c r="AD4" s="95" t="str">
        <f>+Template!AD4</f>
        <v>M03</v>
      </c>
      <c r="AE4" s="95" t="str">
        <f>+Template!AE4</f>
        <v>M04</v>
      </c>
      <c r="AF4" s="95" t="str">
        <f>+Template!AF4</f>
        <v>Q01</v>
      </c>
      <c r="AG4" s="95" t="str">
        <f>+Template!AG4</f>
        <v>Q02</v>
      </c>
      <c r="AH4" s="98"/>
      <c r="AI4" s="94">
        <f>+Template!D4</f>
        <v>1</v>
      </c>
      <c r="AJ4" s="95">
        <f>+Template!E4</f>
        <v>10</v>
      </c>
      <c r="AK4" s="95">
        <f>+Template!F4</f>
        <v>11</v>
      </c>
      <c r="AL4" s="95">
        <f>+Template!G4</f>
        <v>12</v>
      </c>
      <c r="AM4" s="95">
        <f>+Template!H4</f>
        <v>13</v>
      </c>
      <c r="AN4" s="95">
        <f>+Template!I4</f>
        <v>14</v>
      </c>
      <c r="AO4" s="95">
        <f>+Template!J4</f>
        <v>15</v>
      </c>
      <c r="AP4" s="95">
        <f>+Template!K4</f>
        <v>16</v>
      </c>
      <c r="AQ4" s="95">
        <f>+Template!L4</f>
        <v>17</v>
      </c>
      <c r="AR4" s="95">
        <v>18</v>
      </c>
      <c r="AS4" s="95">
        <v>19</v>
      </c>
      <c r="AT4" s="95">
        <f>+Template!O4</f>
        <v>20</v>
      </c>
      <c r="AU4" s="95">
        <f>+Template!P4</f>
        <v>21</v>
      </c>
      <c r="AV4" s="95">
        <v>22</v>
      </c>
      <c r="AW4" s="95">
        <f>+Template!R4</f>
        <v>30</v>
      </c>
      <c r="AX4" s="95">
        <f>+Template!S4</f>
        <v>31</v>
      </c>
      <c r="AY4" s="95">
        <f>+Template!T4</f>
        <v>32</v>
      </c>
      <c r="AZ4" s="95">
        <f>+Template!U4</f>
        <v>33</v>
      </c>
      <c r="BA4" s="95">
        <f>+Template!V4</f>
        <v>34</v>
      </c>
      <c r="BB4" s="95">
        <f>+Template!W4</f>
        <v>40</v>
      </c>
      <c r="BC4" s="95" t="str">
        <f>+Template!X4</f>
        <v>W01</v>
      </c>
      <c r="BD4" s="95" t="str">
        <f>+Template!Y4</f>
        <v>W02</v>
      </c>
      <c r="BE4" s="95" t="str">
        <f>+Template!Z4</f>
        <v>W03</v>
      </c>
      <c r="BF4" s="95" t="str">
        <f>+Template!AA4</f>
        <v>W04</v>
      </c>
      <c r="BG4" s="95" t="str">
        <f>+Template!AB4</f>
        <v>M01</v>
      </c>
      <c r="BH4" s="95" t="str">
        <f>+Template!AC4</f>
        <v>M02</v>
      </c>
      <c r="BI4" s="95" t="str">
        <f>+Template!AD4</f>
        <v>M03</v>
      </c>
      <c r="BJ4" s="95" t="str">
        <f>+Template!AE4</f>
        <v>M04</v>
      </c>
      <c r="BK4" s="95" t="str">
        <f>+Template!AF4</f>
        <v>Q01</v>
      </c>
      <c r="BL4" s="95" t="str">
        <f>+Template!AG4</f>
        <v>Q02</v>
      </c>
      <c r="BM4" s="98"/>
      <c r="BN4" s="94">
        <f>+Template!D4</f>
        <v>1</v>
      </c>
      <c r="BO4" s="95">
        <f>+Template!E4</f>
        <v>10</v>
      </c>
      <c r="BP4" s="95">
        <f>+Template!F4</f>
        <v>11</v>
      </c>
      <c r="BQ4" s="95">
        <f>+Template!G4</f>
        <v>12</v>
      </c>
      <c r="BR4" s="95">
        <f>+Template!H4</f>
        <v>13</v>
      </c>
      <c r="BS4" s="95">
        <f>+Template!I4</f>
        <v>14</v>
      </c>
      <c r="BT4" s="95">
        <f>+Template!J4</f>
        <v>15</v>
      </c>
      <c r="BU4" s="95">
        <f>+Template!K4</f>
        <v>16</v>
      </c>
      <c r="BV4" s="95">
        <f>+Template!L4</f>
        <v>17</v>
      </c>
      <c r="BW4" s="95">
        <v>18</v>
      </c>
      <c r="BX4" s="95">
        <v>19</v>
      </c>
      <c r="BY4" s="95">
        <f>+Template!O4</f>
        <v>20</v>
      </c>
      <c r="BZ4" s="95">
        <f>+Template!P4</f>
        <v>21</v>
      </c>
      <c r="CA4" s="95">
        <v>22</v>
      </c>
      <c r="CB4" s="95">
        <f>+Template!R4</f>
        <v>30</v>
      </c>
      <c r="CC4" s="95">
        <f>+Template!S4</f>
        <v>31</v>
      </c>
      <c r="CD4" s="95">
        <f>+Template!T4</f>
        <v>32</v>
      </c>
      <c r="CE4" s="95">
        <f>+Template!U4</f>
        <v>33</v>
      </c>
      <c r="CF4" s="95">
        <f>+Template!V4</f>
        <v>34</v>
      </c>
      <c r="CG4" s="95">
        <f>+Template!W4</f>
        <v>40</v>
      </c>
      <c r="CH4" s="95" t="str">
        <f>+Template!X4</f>
        <v>W01</v>
      </c>
      <c r="CI4" s="95" t="str">
        <f>+Template!Y4</f>
        <v>W02</v>
      </c>
      <c r="CJ4" s="95" t="str">
        <f>+Template!Z4</f>
        <v>W03</v>
      </c>
      <c r="CK4" s="95" t="str">
        <f>+Template!AA4</f>
        <v>W04</v>
      </c>
      <c r="CL4" s="95" t="str">
        <f>+Template!AB4</f>
        <v>M01</v>
      </c>
      <c r="CM4" s="95" t="str">
        <f>+Template!AC4</f>
        <v>M02</v>
      </c>
      <c r="CN4" s="95" t="str">
        <f>+Template!AD4</f>
        <v>M03</v>
      </c>
      <c r="CO4" s="95" t="str">
        <f>+Template!AE4</f>
        <v>M04</v>
      </c>
      <c r="CP4" s="95" t="str">
        <f>+Template!AF4</f>
        <v>Q01</v>
      </c>
      <c r="CQ4" s="95" t="str">
        <f>+Template!AG4</f>
        <v>Q02</v>
      </c>
      <c r="CR4" s="98"/>
      <c r="CS4" s="94">
        <f>+Template!D4</f>
        <v>1</v>
      </c>
      <c r="CT4" s="95">
        <f>+Template!E4</f>
        <v>10</v>
      </c>
      <c r="CU4" s="95">
        <f>+Template!F4</f>
        <v>11</v>
      </c>
      <c r="CV4" s="95">
        <f>+Template!G4</f>
        <v>12</v>
      </c>
      <c r="CW4" s="95">
        <f>+Template!H4</f>
        <v>13</v>
      </c>
      <c r="CX4" s="95">
        <f>+Template!I4</f>
        <v>14</v>
      </c>
      <c r="CY4" s="95">
        <f>+Template!J4</f>
        <v>15</v>
      </c>
      <c r="CZ4" s="95">
        <f>+Template!K4</f>
        <v>16</v>
      </c>
      <c r="DA4" s="95">
        <f>+Template!L4</f>
        <v>17</v>
      </c>
      <c r="DB4" s="95">
        <v>18</v>
      </c>
      <c r="DC4" s="95">
        <v>19</v>
      </c>
      <c r="DD4" s="95">
        <f>+Template!O4</f>
        <v>20</v>
      </c>
      <c r="DE4" s="95">
        <f>+Template!P4</f>
        <v>21</v>
      </c>
      <c r="DF4" s="95">
        <v>22</v>
      </c>
      <c r="DG4" s="95">
        <f>+Template!R4</f>
        <v>30</v>
      </c>
      <c r="DH4" s="95">
        <f>+Template!S4</f>
        <v>31</v>
      </c>
      <c r="DI4" s="95">
        <f>+Template!T4</f>
        <v>32</v>
      </c>
      <c r="DJ4" s="95">
        <f>+Template!U4</f>
        <v>33</v>
      </c>
      <c r="DK4" s="95">
        <f>+Template!V4</f>
        <v>34</v>
      </c>
      <c r="DL4" s="95">
        <f>+Template!W4</f>
        <v>40</v>
      </c>
      <c r="DM4" s="95" t="str">
        <f>+Template!X4</f>
        <v>W01</v>
      </c>
      <c r="DN4" s="95" t="str">
        <f>+Template!Y4</f>
        <v>W02</v>
      </c>
      <c r="DO4" s="95" t="str">
        <f>+Template!Z4</f>
        <v>W03</v>
      </c>
      <c r="DP4" s="95" t="str">
        <f>+Template!AA4</f>
        <v>W04</v>
      </c>
      <c r="DQ4" s="95" t="str">
        <f>+Template!AB4</f>
        <v>M01</v>
      </c>
      <c r="DR4" s="95" t="str">
        <f>+Template!AC4</f>
        <v>M02</v>
      </c>
      <c r="DS4" s="95" t="str">
        <f>+Template!AD4</f>
        <v>M03</v>
      </c>
      <c r="DT4" s="95" t="str">
        <f>+Template!AE4</f>
        <v>M04</v>
      </c>
      <c r="DU4" s="95" t="str">
        <f>+Template!AF4</f>
        <v>Q01</v>
      </c>
      <c r="DV4" s="95" t="str">
        <f>+Template!AG4</f>
        <v>Q02</v>
      </c>
      <c r="DW4" s="98"/>
      <c r="DX4" s="125"/>
      <c r="DY4" s="126"/>
      <c r="DZ4" s="126"/>
      <c r="EA4" s="126"/>
    </row>
    <row r="5" spans="1:141" x14ac:dyDescent="0.4">
      <c r="A5" s="74">
        <f>WEEKDAY(C5)</f>
        <v>1</v>
      </c>
      <c r="B5" s="74">
        <v>1</v>
      </c>
      <c r="C5" s="127">
        <f>DATE(Jaartal,November!$B$3,November!$B5)</f>
        <v>44136</v>
      </c>
      <c r="D5" s="100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2"/>
      <c r="AI5" s="100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2"/>
      <c r="BN5" s="100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2"/>
      <c r="CS5" s="100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3"/>
      <c r="DJ5" s="103"/>
      <c r="DK5" s="103"/>
      <c r="DL5" s="103"/>
      <c r="DM5" s="103"/>
      <c r="DN5" s="103"/>
      <c r="DO5" s="103"/>
      <c r="DP5" s="103"/>
      <c r="DQ5" s="103"/>
      <c r="DR5" s="103"/>
      <c r="DS5" s="103"/>
      <c r="DT5" s="103"/>
      <c r="DU5" s="103"/>
      <c r="DV5" s="103"/>
      <c r="DW5" s="102"/>
      <c r="DX5" s="128"/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</row>
    <row r="6" spans="1:141" x14ac:dyDescent="0.4">
      <c r="A6" s="74">
        <f t="shared" ref="A6:A35" si="0">WEEKDAY(C6)</f>
        <v>2</v>
      </c>
      <c r="B6" s="74">
        <v>2</v>
      </c>
      <c r="C6" s="127">
        <f>DATE(Jaartal,November!$B$3,November!$B6)</f>
        <v>44137</v>
      </c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6"/>
      <c r="AI6" s="104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6"/>
      <c r="BN6" s="104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6"/>
      <c r="CS6" s="104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6"/>
      <c r="DX6" s="128"/>
      <c r="DY6" s="128"/>
      <c r="DZ6" s="128"/>
      <c r="EA6" s="128"/>
      <c r="EB6" s="128"/>
      <c r="EC6" s="128"/>
      <c r="ED6" s="128"/>
      <c r="EE6" s="128"/>
      <c r="EF6" s="128"/>
      <c r="EG6" s="128"/>
      <c r="EH6" s="128"/>
      <c r="EI6" s="128"/>
      <c r="EJ6" s="128"/>
      <c r="EK6" s="128"/>
    </row>
    <row r="7" spans="1:141" x14ac:dyDescent="0.4">
      <c r="A7" s="74">
        <f t="shared" si="0"/>
        <v>3</v>
      </c>
      <c r="B7" s="74">
        <v>3</v>
      </c>
      <c r="C7" s="127">
        <f>DATE(Jaartal,November!$B$3,November!$B7)</f>
        <v>44138</v>
      </c>
      <c r="D7" s="104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6"/>
      <c r="AI7" s="104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6"/>
      <c r="BN7" s="104"/>
      <c r="BO7" s="105"/>
      <c r="BP7" s="105"/>
      <c r="BQ7" s="105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6"/>
      <c r="CS7" s="104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6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</row>
    <row r="8" spans="1:141" x14ac:dyDescent="0.4">
      <c r="A8" s="74">
        <f t="shared" si="0"/>
        <v>4</v>
      </c>
      <c r="B8" s="74">
        <v>4</v>
      </c>
      <c r="C8" s="127">
        <f>DATE(Jaartal,November!$B$3,November!$B8)</f>
        <v>44139</v>
      </c>
      <c r="D8" s="104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6"/>
      <c r="AI8" s="104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6"/>
      <c r="BN8" s="104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6"/>
      <c r="CS8" s="104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/>
      <c r="DT8" s="107"/>
      <c r="DU8" s="107"/>
      <c r="DV8" s="107"/>
      <c r="DW8" s="106"/>
      <c r="DX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</row>
    <row r="9" spans="1:141" x14ac:dyDescent="0.4">
      <c r="A9" s="74">
        <f t="shared" si="0"/>
        <v>5</v>
      </c>
      <c r="B9" s="74">
        <v>5</v>
      </c>
      <c r="C9" s="127">
        <f>DATE(Jaartal,November!$B$3,November!$B9)</f>
        <v>44140</v>
      </c>
      <c r="D9" s="104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6"/>
      <c r="AI9" s="104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6"/>
      <c r="BN9" s="104"/>
      <c r="BO9" s="105"/>
      <c r="BP9" s="105"/>
      <c r="BQ9" s="105"/>
      <c r="BR9" s="105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6"/>
      <c r="CS9" s="104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5"/>
      <c r="DH9" s="105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6"/>
      <c r="DX9" s="128"/>
      <c r="DY9" s="128"/>
      <c r="DZ9" s="128"/>
      <c r="EA9" s="128"/>
      <c r="EB9" s="128"/>
      <c r="EC9" s="128"/>
      <c r="ED9" s="128"/>
      <c r="EE9" s="128"/>
      <c r="EF9" s="128"/>
      <c r="EG9" s="128"/>
      <c r="EH9" s="128"/>
      <c r="EI9" s="128"/>
      <c r="EJ9" s="128"/>
      <c r="EK9" s="128"/>
    </row>
    <row r="10" spans="1:141" x14ac:dyDescent="0.4">
      <c r="A10" s="74">
        <f t="shared" si="0"/>
        <v>6</v>
      </c>
      <c r="B10" s="74">
        <v>6</v>
      </c>
      <c r="C10" s="127">
        <f>DATE(Jaartal,November!$B$3,November!$B10)</f>
        <v>44141</v>
      </c>
      <c r="D10" s="104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6"/>
      <c r="AI10" s="104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6"/>
      <c r="BN10" s="104"/>
      <c r="BO10" s="105"/>
      <c r="BP10" s="105"/>
      <c r="BQ10" s="105"/>
      <c r="BR10" s="105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6"/>
      <c r="CS10" s="104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5"/>
      <c r="DH10" s="105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6"/>
      <c r="DX10" s="128"/>
      <c r="DY10" s="128"/>
      <c r="DZ10" s="128"/>
      <c r="EA10" s="128"/>
      <c r="EB10" s="128"/>
      <c r="EC10" s="128"/>
      <c r="ED10" s="128"/>
      <c r="EE10" s="128"/>
      <c r="EF10" s="128"/>
      <c r="EG10" s="128"/>
      <c r="EH10" s="128"/>
      <c r="EI10" s="128"/>
      <c r="EJ10" s="128"/>
      <c r="EK10" s="128"/>
    </row>
    <row r="11" spans="1:141" x14ac:dyDescent="0.4">
      <c r="A11" s="74">
        <f t="shared" si="0"/>
        <v>7</v>
      </c>
      <c r="B11" s="74">
        <v>7</v>
      </c>
      <c r="C11" s="127">
        <f>DATE(Jaartal,November!$B$3,November!$B11)</f>
        <v>44142</v>
      </c>
      <c r="D11" s="104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6"/>
      <c r="AI11" s="104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6"/>
      <c r="BN11" s="104"/>
      <c r="BO11" s="105"/>
      <c r="BP11" s="105"/>
      <c r="BQ11" s="105"/>
      <c r="BR11" s="105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6"/>
      <c r="CS11" s="104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5"/>
      <c r="DH11" s="105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6"/>
      <c r="DX11" s="128"/>
      <c r="DY11" s="128"/>
      <c r="DZ11" s="128"/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</row>
    <row r="12" spans="1:141" x14ac:dyDescent="0.4">
      <c r="A12" s="74">
        <f t="shared" si="0"/>
        <v>1</v>
      </c>
      <c r="B12" s="74">
        <v>8</v>
      </c>
      <c r="C12" s="127">
        <f>DATE(Jaartal,November!$B$3,November!$B12)</f>
        <v>44143</v>
      </c>
      <c r="D12" s="104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6"/>
      <c r="AI12" s="104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6"/>
      <c r="BN12" s="104"/>
      <c r="BO12" s="105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6"/>
      <c r="CS12" s="104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5"/>
      <c r="DH12" s="105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6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</row>
    <row r="13" spans="1:141" x14ac:dyDescent="0.4">
      <c r="A13" s="74">
        <f t="shared" si="0"/>
        <v>2</v>
      </c>
      <c r="B13" s="74">
        <v>9</v>
      </c>
      <c r="C13" s="127">
        <f>DATE(Jaartal,November!$B$3,November!$B13)</f>
        <v>44144</v>
      </c>
      <c r="D13" s="104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6"/>
      <c r="AI13" s="104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6"/>
      <c r="BN13" s="104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6"/>
      <c r="CS13" s="104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5"/>
      <c r="DH13" s="105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6"/>
      <c r="DX13" s="128"/>
      <c r="DY13" s="128"/>
      <c r="DZ13" s="128"/>
      <c r="EA13" s="128"/>
      <c r="EB13" s="128"/>
      <c r="EC13" s="128"/>
      <c r="ED13" s="128"/>
      <c r="EE13" s="128"/>
      <c r="EF13" s="128"/>
      <c r="EG13" s="128"/>
      <c r="EH13" s="128"/>
      <c r="EI13" s="128"/>
      <c r="EJ13" s="128"/>
      <c r="EK13" s="128"/>
    </row>
    <row r="14" spans="1:141" x14ac:dyDescent="0.4">
      <c r="A14" s="74">
        <f t="shared" si="0"/>
        <v>3</v>
      </c>
      <c r="B14" s="74">
        <v>10</v>
      </c>
      <c r="C14" s="127">
        <f>DATE(Jaartal,November!$B$3,November!$B14)</f>
        <v>44145</v>
      </c>
      <c r="D14" s="104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6"/>
      <c r="AI14" s="104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6"/>
      <c r="BN14" s="104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6"/>
      <c r="CS14" s="104"/>
      <c r="CT14" s="105"/>
      <c r="CU14" s="105"/>
      <c r="CV14" s="105"/>
      <c r="CW14" s="105"/>
      <c r="CX14" s="105"/>
      <c r="CY14" s="105"/>
      <c r="CZ14" s="105"/>
      <c r="DA14" s="105"/>
      <c r="DB14" s="105"/>
      <c r="DC14" s="105"/>
      <c r="DD14" s="105"/>
      <c r="DE14" s="105"/>
      <c r="DF14" s="105"/>
      <c r="DG14" s="105"/>
      <c r="DH14" s="105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6"/>
      <c r="DX14" s="128"/>
      <c r="DY14" s="128"/>
      <c r="DZ14" s="128"/>
      <c r="EA14" s="128"/>
      <c r="EB14" s="128"/>
      <c r="EC14" s="128"/>
      <c r="ED14" s="128"/>
      <c r="EE14" s="128"/>
      <c r="EF14" s="128"/>
      <c r="EG14" s="128"/>
      <c r="EH14" s="128"/>
      <c r="EI14" s="128"/>
      <c r="EJ14" s="128"/>
      <c r="EK14" s="128"/>
    </row>
    <row r="15" spans="1:141" x14ac:dyDescent="0.4">
      <c r="A15" s="74">
        <f t="shared" si="0"/>
        <v>4</v>
      </c>
      <c r="B15" s="74">
        <v>11</v>
      </c>
      <c r="C15" s="127">
        <f>DATE(Jaartal,November!$B$3,November!$B15)</f>
        <v>44146</v>
      </c>
      <c r="D15" s="104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6"/>
      <c r="AI15" s="104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6"/>
      <c r="BN15" s="104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6"/>
      <c r="CS15" s="104"/>
      <c r="CT15" s="105"/>
      <c r="CU15" s="105"/>
      <c r="CV15" s="105"/>
      <c r="CW15" s="105"/>
      <c r="CX15" s="105"/>
      <c r="CY15" s="105"/>
      <c r="CZ15" s="105"/>
      <c r="DA15" s="105"/>
      <c r="DB15" s="105"/>
      <c r="DC15" s="105"/>
      <c r="DD15" s="105"/>
      <c r="DE15" s="105"/>
      <c r="DF15" s="105"/>
      <c r="DG15" s="105"/>
      <c r="DH15" s="105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6"/>
      <c r="DX15" s="128"/>
      <c r="DY15" s="128"/>
      <c r="DZ15" s="128"/>
      <c r="EA15" s="128"/>
      <c r="EB15" s="128"/>
      <c r="EC15" s="128"/>
      <c r="ED15" s="128"/>
      <c r="EE15" s="128"/>
      <c r="EF15" s="128"/>
      <c r="EG15" s="128"/>
      <c r="EH15" s="128"/>
      <c r="EI15" s="128"/>
      <c r="EJ15" s="128"/>
      <c r="EK15" s="128"/>
    </row>
    <row r="16" spans="1:141" x14ac:dyDescent="0.4">
      <c r="A16" s="74">
        <f t="shared" si="0"/>
        <v>5</v>
      </c>
      <c r="B16" s="74">
        <v>12</v>
      </c>
      <c r="C16" s="127">
        <f>DATE(Jaartal,November!$B$3,November!$B16)</f>
        <v>44147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6"/>
      <c r="AI16" s="104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6"/>
      <c r="BN16" s="104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6"/>
      <c r="DX16" s="128"/>
      <c r="DY16" s="128"/>
      <c r="DZ16" s="128"/>
      <c r="EA16" s="128"/>
      <c r="EB16" s="128"/>
      <c r="EC16" s="128"/>
      <c r="ED16" s="128"/>
      <c r="EE16" s="128"/>
      <c r="EF16" s="128"/>
      <c r="EG16" s="128"/>
      <c r="EH16" s="128"/>
      <c r="EI16" s="128"/>
      <c r="EJ16" s="128"/>
      <c r="EK16" s="128"/>
    </row>
    <row r="17" spans="1:141" x14ac:dyDescent="0.4">
      <c r="A17" s="74">
        <f t="shared" si="0"/>
        <v>6</v>
      </c>
      <c r="B17" s="74">
        <v>13</v>
      </c>
      <c r="C17" s="127">
        <f>DATE(Jaartal,November!$B$3,November!$B17)</f>
        <v>44148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6"/>
      <c r="AI17" s="104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6"/>
      <c r="BN17" s="104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6"/>
      <c r="CS17" s="104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6"/>
      <c r="DX17" s="128"/>
      <c r="DY17" s="128"/>
      <c r="DZ17" s="128"/>
      <c r="EA17" s="128"/>
      <c r="EB17" s="128"/>
      <c r="EC17" s="128"/>
      <c r="ED17" s="128"/>
      <c r="EE17" s="128"/>
      <c r="EF17" s="128"/>
      <c r="EG17" s="128"/>
      <c r="EH17" s="128"/>
      <c r="EI17" s="128"/>
      <c r="EJ17" s="128"/>
      <c r="EK17" s="128"/>
    </row>
    <row r="18" spans="1:141" x14ac:dyDescent="0.4">
      <c r="A18" s="74">
        <f t="shared" si="0"/>
        <v>7</v>
      </c>
      <c r="B18" s="74">
        <v>14</v>
      </c>
      <c r="C18" s="127">
        <f>DATE(Jaartal,November!$B$3,November!$B18)</f>
        <v>44149</v>
      </c>
      <c r="D18" s="104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6"/>
      <c r="AI18" s="104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6"/>
      <c r="BN18" s="104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6"/>
      <c r="CS18" s="104"/>
      <c r="CT18" s="105"/>
      <c r="CU18" s="105"/>
      <c r="CV18" s="105"/>
      <c r="CW18" s="105"/>
      <c r="CX18" s="105"/>
      <c r="CY18" s="105"/>
      <c r="CZ18" s="105"/>
      <c r="DA18" s="105"/>
      <c r="DB18" s="105"/>
      <c r="DC18" s="105"/>
      <c r="DD18" s="105"/>
      <c r="DE18" s="105"/>
      <c r="DF18" s="105"/>
      <c r="DG18" s="105"/>
      <c r="DH18" s="105"/>
      <c r="DI18" s="107"/>
      <c r="DJ18" s="107"/>
      <c r="DK18" s="107"/>
      <c r="DL18" s="107"/>
      <c r="DM18" s="107"/>
      <c r="DN18" s="107"/>
      <c r="DO18" s="107"/>
      <c r="DP18" s="107"/>
      <c r="DQ18" s="107"/>
      <c r="DR18" s="107"/>
      <c r="DS18" s="107"/>
      <c r="DT18" s="107"/>
      <c r="DU18" s="107"/>
      <c r="DV18" s="107"/>
      <c r="DW18" s="106"/>
      <c r="DX18" s="128"/>
      <c r="DY18" s="128"/>
      <c r="DZ18" s="128"/>
      <c r="EA18" s="128"/>
      <c r="EB18" s="128"/>
      <c r="EC18" s="128"/>
      <c r="ED18" s="128"/>
      <c r="EE18" s="128"/>
      <c r="EF18" s="128"/>
      <c r="EG18" s="128"/>
      <c r="EH18" s="128"/>
      <c r="EI18" s="128"/>
      <c r="EJ18" s="128"/>
      <c r="EK18" s="128"/>
    </row>
    <row r="19" spans="1:141" x14ac:dyDescent="0.4">
      <c r="A19" s="74">
        <f t="shared" si="0"/>
        <v>1</v>
      </c>
      <c r="B19" s="74">
        <v>15</v>
      </c>
      <c r="C19" s="127">
        <f>DATE(Jaartal,November!$B$3,November!$B19)</f>
        <v>44150</v>
      </c>
      <c r="D19" s="104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6"/>
      <c r="AI19" s="104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6"/>
      <c r="BN19" s="104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6"/>
      <c r="CS19" s="104"/>
      <c r="CT19" s="105"/>
      <c r="CU19" s="105"/>
      <c r="CV19" s="105"/>
      <c r="CW19" s="105"/>
      <c r="CX19" s="105"/>
      <c r="CY19" s="105"/>
      <c r="CZ19" s="105"/>
      <c r="DA19" s="105"/>
      <c r="DB19" s="105"/>
      <c r="DC19" s="105"/>
      <c r="DD19" s="105"/>
      <c r="DE19" s="105"/>
      <c r="DF19" s="105"/>
      <c r="DG19" s="105"/>
      <c r="DH19" s="105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6"/>
      <c r="DX19" s="128"/>
      <c r="DY19" s="128"/>
      <c r="DZ19" s="128"/>
      <c r="EA19" s="128"/>
      <c r="EB19" s="128"/>
      <c r="EC19" s="128"/>
      <c r="ED19" s="128"/>
      <c r="EE19" s="128"/>
      <c r="EF19" s="128"/>
      <c r="EG19" s="128"/>
      <c r="EH19" s="128"/>
      <c r="EI19" s="128"/>
      <c r="EJ19" s="128"/>
      <c r="EK19" s="128"/>
    </row>
    <row r="20" spans="1:141" x14ac:dyDescent="0.4">
      <c r="A20" s="74">
        <f t="shared" si="0"/>
        <v>2</v>
      </c>
      <c r="B20" s="74">
        <v>16</v>
      </c>
      <c r="C20" s="127">
        <f>DATE(Jaartal,November!$B$3,November!$B20)</f>
        <v>44151</v>
      </c>
      <c r="D20" s="104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6"/>
      <c r="AI20" s="104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6"/>
      <c r="BN20" s="104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6"/>
      <c r="CS20" s="104"/>
      <c r="CT20" s="105"/>
      <c r="CU20" s="105"/>
      <c r="CV20" s="105"/>
      <c r="CW20" s="105"/>
      <c r="CX20" s="105"/>
      <c r="CY20" s="105"/>
      <c r="CZ20" s="105"/>
      <c r="DA20" s="105"/>
      <c r="DB20" s="105"/>
      <c r="DC20" s="105"/>
      <c r="DD20" s="105"/>
      <c r="DE20" s="105"/>
      <c r="DF20" s="105"/>
      <c r="DG20" s="105"/>
      <c r="DH20" s="105"/>
      <c r="DI20" s="107"/>
      <c r="DJ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U20" s="107"/>
      <c r="DV20" s="107"/>
      <c r="DW20" s="106"/>
      <c r="DX20" s="128"/>
      <c r="DY20" s="128"/>
      <c r="DZ20" s="128"/>
      <c r="EA20" s="128"/>
      <c r="EB20" s="128"/>
      <c r="EC20" s="128"/>
      <c r="ED20" s="128"/>
      <c r="EE20" s="128"/>
      <c r="EF20" s="128"/>
      <c r="EG20" s="128"/>
      <c r="EH20" s="128"/>
      <c r="EI20" s="128"/>
      <c r="EJ20" s="128"/>
      <c r="EK20" s="128"/>
    </row>
    <row r="21" spans="1:141" x14ac:dyDescent="0.4">
      <c r="A21" s="74">
        <f t="shared" si="0"/>
        <v>3</v>
      </c>
      <c r="B21" s="74">
        <v>17</v>
      </c>
      <c r="C21" s="127">
        <f>DATE(Jaartal,November!$B$3,November!$B21)</f>
        <v>44152</v>
      </c>
      <c r="D21" s="104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6"/>
      <c r="AI21" s="104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6"/>
      <c r="BN21" s="104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6"/>
      <c r="CS21" s="104"/>
      <c r="CT21" s="105"/>
      <c r="CU21" s="105"/>
      <c r="CV21" s="105"/>
      <c r="CW21" s="105"/>
      <c r="CX21" s="105"/>
      <c r="CY21" s="105"/>
      <c r="CZ21" s="105"/>
      <c r="DA21" s="105"/>
      <c r="DB21" s="105"/>
      <c r="DC21" s="105"/>
      <c r="DD21" s="105"/>
      <c r="DE21" s="105"/>
      <c r="DF21" s="105"/>
      <c r="DG21" s="105"/>
      <c r="DH21" s="105"/>
      <c r="DI21" s="107"/>
      <c r="DJ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U21" s="107"/>
      <c r="DV21" s="107"/>
      <c r="DW21" s="106"/>
      <c r="DX21" s="128"/>
      <c r="DY21" s="128"/>
      <c r="DZ21" s="128"/>
      <c r="EA21" s="128"/>
      <c r="EB21" s="128"/>
      <c r="EC21" s="128"/>
      <c r="ED21" s="128"/>
      <c r="EE21" s="128"/>
      <c r="EF21" s="128"/>
      <c r="EG21" s="128"/>
      <c r="EH21" s="128"/>
      <c r="EI21" s="128"/>
      <c r="EJ21" s="128"/>
      <c r="EK21" s="128"/>
    </row>
    <row r="22" spans="1:141" x14ac:dyDescent="0.4">
      <c r="A22" s="74">
        <f t="shared" si="0"/>
        <v>4</v>
      </c>
      <c r="B22" s="74">
        <v>18</v>
      </c>
      <c r="C22" s="127">
        <f>DATE(Jaartal,November!$B$3,November!$B22)</f>
        <v>44153</v>
      </c>
      <c r="D22" s="104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6"/>
      <c r="AI22" s="104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6"/>
      <c r="BN22" s="104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6"/>
      <c r="CS22" s="104"/>
      <c r="CT22" s="105"/>
      <c r="CU22" s="105"/>
      <c r="CV22" s="105"/>
      <c r="CW22" s="105"/>
      <c r="CX22" s="105"/>
      <c r="CY22" s="105"/>
      <c r="CZ22" s="105"/>
      <c r="DA22" s="105"/>
      <c r="DB22" s="105"/>
      <c r="DC22" s="105"/>
      <c r="DD22" s="105"/>
      <c r="DE22" s="105"/>
      <c r="DF22" s="105"/>
      <c r="DG22" s="105"/>
      <c r="DH22" s="105"/>
      <c r="DI22" s="107"/>
      <c r="DJ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U22" s="107"/>
      <c r="DV22" s="107"/>
      <c r="DW22" s="106"/>
      <c r="DX22" s="128"/>
      <c r="DY22" s="128"/>
      <c r="DZ22" s="128"/>
      <c r="EA22" s="128"/>
      <c r="EB22" s="128"/>
      <c r="EC22" s="128"/>
      <c r="ED22" s="128"/>
      <c r="EE22" s="128"/>
      <c r="EF22" s="128"/>
      <c r="EG22" s="128"/>
      <c r="EH22" s="128"/>
      <c r="EI22" s="128"/>
      <c r="EJ22" s="128"/>
      <c r="EK22" s="128"/>
    </row>
    <row r="23" spans="1:141" x14ac:dyDescent="0.4">
      <c r="A23" s="74">
        <f t="shared" si="0"/>
        <v>5</v>
      </c>
      <c r="B23" s="74">
        <v>19</v>
      </c>
      <c r="C23" s="127">
        <f>DATE(Jaartal,November!$B$3,November!$B23)</f>
        <v>44154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6"/>
      <c r="AI23" s="104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6"/>
      <c r="BN23" s="104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7"/>
      <c r="CE23" s="107"/>
      <c r="CF23" s="107"/>
      <c r="CG23" s="107"/>
      <c r="CH23" s="107"/>
      <c r="CI23" s="107"/>
      <c r="CJ23" s="107"/>
      <c r="CK23" s="107"/>
      <c r="CL23" s="107"/>
      <c r="CM23" s="107"/>
      <c r="CN23" s="107"/>
      <c r="CO23" s="107"/>
      <c r="CP23" s="107"/>
      <c r="CQ23" s="107"/>
      <c r="CR23" s="106"/>
      <c r="CS23" s="104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5"/>
      <c r="DH23" s="105"/>
      <c r="DI23" s="107"/>
      <c r="DJ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U23" s="107"/>
      <c r="DV23" s="107"/>
      <c r="DW23" s="106"/>
      <c r="DX23" s="128"/>
      <c r="DY23" s="128"/>
      <c r="DZ23" s="128"/>
      <c r="EA23" s="128"/>
      <c r="EB23" s="128"/>
      <c r="EC23" s="128"/>
      <c r="ED23" s="128"/>
      <c r="EE23" s="128"/>
      <c r="EF23" s="128"/>
      <c r="EG23" s="128"/>
      <c r="EH23" s="128"/>
      <c r="EI23" s="128"/>
      <c r="EJ23" s="128"/>
      <c r="EK23" s="128"/>
    </row>
    <row r="24" spans="1:141" x14ac:dyDescent="0.4">
      <c r="A24" s="74">
        <f t="shared" si="0"/>
        <v>6</v>
      </c>
      <c r="B24" s="74">
        <v>20</v>
      </c>
      <c r="C24" s="127">
        <f>DATE(Jaartal,November!$B$3,November!$B24)</f>
        <v>44155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6"/>
      <c r="AI24" s="104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6"/>
      <c r="BN24" s="104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6"/>
      <c r="DX24" s="128"/>
      <c r="DY24" s="128"/>
      <c r="DZ24" s="128"/>
      <c r="EA24" s="128"/>
      <c r="EB24" s="128"/>
      <c r="EC24" s="128"/>
      <c r="ED24" s="128"/>
      <c r="EE24" s="128"/>
      <c r="EF24" s="128"/>
      <c r="EG24" s="128"/>
      <c r="EH24" s="128"/>
      <c r="EI24" s="128"/>
      <c r="EJ24" s="128"/>
      <c r="EK24" s="128"/>
    </row>
    <row r="25" spans="1:141" x14ac:dyDescent="0.4">
      <c r="A25" s="74">
        <f t="shared" si="0"/>
        <v>7</v>
      </c>
      <c r="B25" s="74">
        <v>21</v>
      </c>
      <c r="C25" s="127">
        <f>DATE(Jaartal,November!$B$3,November!$B25)</f>
        <v>44156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6"/>
      <c r="AI25" s="104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6"/>
      <c r="BN25" s="104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U25" s="107"/>
      <c r="DV25" s="107"/>
      <c r="DW25" s="106"/>
      <c r="DX25" s="128"/>
      <c r="DY25" s="128"/>
      <c r="DZ25" s="128"/>
      <c r="EA25" s="128"/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</row>
    <row r="26" spans="1:141" x14ac:dyDescent="0.4">
      <c r="A26" s="74">
        <f t="shared" si="0"/>
        <v>1</v>
      </c>
      <c r="B26" s="74">
        <v>22</v>
      </c>
      <c r="C26" s="127">
        <f>DATE(Jaartal,November!$B$3,November!$B26)</f>
        <v>44157</v>
      </c>
      <c r="D26" s="104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6"/>
      <c r="AI26" s="104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6"/>
      <c r="BN26" s="104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6"/>
      <c r="CS26" s="104"/>
      <c r="CT26" s="105"/>
      <c r="CU26" s="105"/>
      <c r="CV26" s="105"/>
      <c r="CW26" s="105"/>
      <c r="CX26" s="105"/>
      <c r="CY26" s="105"/>
      <c r="CZ26" s="105"/>
      <c r="DA26" s="105"/>
      <c r="DB26" s="105"/>
      <c r="DC26" s="105"/>
      <c r="DD26" s="105"/>
      <c r="DE26" s="105"/>
      <c r="DF26" s="105"/>
      <c r="DG26" s="105"/>
      <c r="DH26" s="105"/>
      <c r="DI26" s="107"/>
      <c r="DJ26" s="107"/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U26" s="107"/>
      <c r="DV26" s="107"/>
      <c r="DW26" s="106"/>
      <c r="DX26" s="128"/>
      <c r="DY26" s="128"/>
      <c r="DZ26" s="128"/>
      <c r="EA26" s="128"/>
      <c r="EB26" s="128"/>
      <c r="EC26" s="128"/>
      <c r="ED26" s="128"/>
      <c r="EE26" s="128"/>
      <c r="EF26" s="128"/>
      <c r="EG26" s="128"/>
      <c r="EH26" s="128"/>
      <c r="EI26" s="128"/>
      <c r="EJ26" s="128"/>
      <c r="EK26" s="128"/>
    </row>
    <row r="27" spans="1:141" x14ac:dyDescent="0.4">
      <c r="A27" s="74">
        <f t="shared" si="0"/>
        <v>2</v>
      </c>
      <c r="B27" s="74">
        <v>23</v>
      </c>
      <c r="C27" s="127">
        <f>DATE(Jaartal,November!$B$3,November!$B27)</f>
        <v>44158</v>
      </c>
      <c r="D27" s="104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6"/>
      <c r="AI27" s="104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6"/>
      <c r="BN27" s="104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6"/>
      <c r="CS27" s="104"/>
      <c r="CT27" s="105"/>
      <c r="CU27" s="105"/>
      <c r="CV27" s="105"/>
      <c r="CW27" s="105"/>
      <c r="CX27" s="105"/>
      <c r="CY27" s="105"/>
      <c r="CZ27" s="105"/>
      <c r="DA27" s="105"/>
      <c r="DB27" s="105"/>
      <c r="DC27" s="105"/>
      <c r="DD27" s="105"/>
      <c r="DE27" s="105"/>
      <c r="DF27" s="105"/>
      <c r="DG27" s="105"/>
      <c r="DH27" s="105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U27" s="107"/>
      <c r="DV27" s="107"/>
      <c r="DW27" s="106"/>
      <c r="DX27" s="128"/>
      <c r="DY27" s="128"/>
      <c r="DZ27" s="128"/>
      <c r="EA27" s="128"/>
      <c r="EB27" s="128"/>
      <c r="EC27" s="128"/>
      <c r="ED27" s="128"/>
      <c r="EE27" s="128"/>
      <c r="EF27" s="128"/>
      <c r="EG27" s="128"/>
      <c r="EH27" s="128"/>
      <c r="EI27" s="128"/>
      <c r="EJ27" s="128"/>
      <c r="EK27" s="128"/>
    </row>
    <row r="28" spans="1:141" x14ac:dyDescent="0.4">
      <c r="A28" s="74">
        <f t="shared" si="0"/>
        <v>3</v>
      </c>
      <c r="B28" s="74">
        <v>24</v>
      </c>
      <c r="C28" s="127">
        <f>DATE(Jaartal,November!$B$3,November!$B28)</f>
        <v>44159</v>
      </c>
      <c r="D28" s="104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6"/>
      <c r="AI28" s="104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6"/>
      <c r="BN28" s="104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6"/>
      <c r="CS28" s="104"/>
      <c r="CT28" s="105"/>
      <c r="CU28" s="105"/>
      <c r="CV28" s="105"/>
      <c r="CW28" s="105"/>
      <c r="CX28" s="105"/>
      <c r="CY28" s="105"/>
      <c r="CZ28" s="105"/>
      <c r="DA28" s="105"/>
      <c r="DB28" s="105"/>
      <c r="DC28" s="105"/>
      <c r="DD28" s="105"/>
      <c r="DE28" s="105"/>
      <c r="DF28" s="105"/>
      <c r="DG28" s="105"/>
      <c r="DH28" s="105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6"/>
      <c r="DX28" s="128"/>
      <c r="DY28" s="128"/>
      <c r="DZ28" s="128"/>
      <c r="EA28" s="128"/>
      <c r="EB28" s="128"/>
      <c r="EC28" s="128"/>
      <c r="ED28" s="128"/>
      <c r="EE28" s="128"/>
      <c r="EF28" s="128"/>
      <c r="EG28" s="128"/>
      <c r="EH28" s="128"/>
      <c r="EI28" s="128"/>
      <c r="EJ28" s="128"/>
      <c r="EK28" s="128"/>
    </row>
    <row r="29" spans="1:141" x14ac:dyDescent="0.4">
      <c r="A29" s="74">
        <f t="shared" si="0"/>
        <v>4</v>
      </c>
      <c r="B29" s="74">
        <v>25</v>
      </c>
      <c r="C29" s="127">
        <f>DATE(Jaartal,November!$B$3,November!$B29)</f>
        <v>44160</v>
      </c>
      <c r="D29" s="104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6"/>
      <c r="AI29" s="104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6"/>
      <c r="BN29" s="104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6"/>
      <c r="CS29" s="104"/>
      <c r="CT29" s="105"/>
      <c r="CU29" s="105"/>
      <c r="CV29" s="105"/>
      <c r="CW29" s="105"/>
      <c r="CX29" s="105"/>
      <c r="CY29" s="105"/>
      <c r="CZ29" s="105"/>
      <c r="DA29" s="105"/>
      <c r="DB29" s="105"/>
      <c r="DC29" s="105"/>
      <c r="DD29" s="105"/>
      <c r="DE29" s="105"/>
      <c r="DF29" s="105"/>
      <c r="DG29" s="105"/>
      <c r="DH29" s="105"/>
      <c r="DI29" s="107"/>
      <c r="DJ29" s="107"/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U29" s="107"/>
      <c r="DV29" s="107"/>
      <c r="DW29" s="106"/>
      <c r="DX29" s="128"/>
      <c r="DY29" s="128"/>
      <c r="DZ29" s="128"/>
      <c r="EA29" s="128"/>
      <c r="EB29" s="128"/>
      <c r="EC29" s="128"/>
      <c r="ED29" s="128"/>
      <c r="EE29" s="128"/>
      <c r="EF29" s="128"/>
      <c r="EG29" s="128"/>
      <c r="EH29" s="128"/>
      <c r="EI29" s="128"/>
      <c r="EJ29" s="128"/>
      <c r="EK29" s="128"/>
    </row>
    <row r="30" spans="1:141" x14ac:dyDescent="0.4">
      <c r="A30" s="74">
        <f t="shared" si="0"/>
        <v>5</v>
      </c>
      <c r="B30" s="74">
        <v>26</v>
      </c>
      <c r="C30" s="127">
        <f>DATE(Jaartal,November!$B$3,November!$B30)</f>
        <v>44161</v>
      </c>
      <c r="D30" s="104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6"/>
      <c r="AI30" s="104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6"/>
      <c r="BN30" s="104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6"/>
      <c r="CS30" s="104"/>
      <c r="CT30" s="105"/>
      <c r="CU30" s="105"/>
      <c r="CV30" s="105"/>
      <c r="CW30" s="105"/>
      <c r="CX30" s="105"/>
      <c r="CY30" s="105"/>
      <c r="CZ30" s="105"/>
      <c r="DA30" s="105"/>
      <c r="DB30" s="105"/>
      <c r="DC30" s="105"/>
      <c r="DD30" s="105"/>
      <c r="DE30" s="105"/>
      <c r="DF30" s="105"/>
      <c r="DG30" s="105"/>
      <c r="DH30" s="105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U30" s="107"/>
      <c r="DV30" s="107"/>
      <c r="DW30" s="106"/>
      <c r="DX30" s="128"/>
      <c r="DY30" s="128"/>
      <c r="DZ30" s="128"/>
      <c r="EA30" s="128"/>
      <c r="EB30" s="128"/>
      <c r="EC30" s="128"/>
      <c r="ED30" s="128"/>
      <c r="EE30" s="128"/>
      <c r="EF30" s="128"/>
      <c r="EG30" s="128"/>
      <c r="EH30" s="128"/>
      <c r="EI30" s="128"/>
      <c r="EJ30" s="128"/>
      <c r="EK30" s="128"/>
    </row>
    <row r="31" spans="1:141" x14ac:dyDescent="0.4">
      <c r="A31" s="74">
        <f t="shared" si="0"/>
        <v>6</v>
      </c>
      <c r="B31" s="74">
        <v>27</v>
      </c>
      <c r="C31" s="127">
        <f>DATE(Jaartal,November!$B$3,November!$B31)</f>
        <v>44162</v>
      </c>
      <c r="D31" s="104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6"/>
      <c r="AI31" s="104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6"/>
      <c r="BN31" s="104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6"/>
      <c r="CS31" s="104"/>
      <c r="CT31" s="105"/>
      <c r="CU31" s="105"/>
      <c r="CV31" s="105"/>
      <c r="CW31" s="105"/>
      <c r="CX31" s="105"/>
      <c r="CY31" s="105"/>
      <c r="CZ31" s="105"/>
      <c r="DA31" s="105"/>
      <c r="DB31" s="105"/>
      <c r="DC31" s="105"/>
      <c r="DD31" s="105"/>
      <c r="DE31" s="105"/>
      <c r="DF31" s="105"/>
      <c r="DG31" s="105"/>
      <c r="DH31" s="105"/>
      <c r="DI31" s="107"/>
      <c r="DJ31" s="107"/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U31" s="107"/>
      <c r="DV31" s="107"/>
      <c r="DW31" s="106"/>
      <c r="DX31" s="128"/>
      <c r="DY31" s="128"/>
      <c r="DZ31" s="128"/>
      <c r="EA31" s="128"/>
      <c r="EB31" s="128"/>
      <c r="EC31" s="128"/>
      <c r="ED31" s="128"/>
      <c r="EE31" s="128"/>
      <c r="EF31" s="128"/>
      <c r="EG31" s="128"/>
      <c r="EH31" s="128"/>
      <c r="EI31" s="128"/>
      <c r="EJ31" s="128"/>
      <c r="EK31" s="128"/>
    </row>
    <row r="32" spans="1:141" x14ac:dyDescent="0.4">
      <c r="A32" s="74">
        <f t="shared" si="0"/>
        <v>7</v>
      </c>
      <c r="B32" s="74">
        <v>28</v>
      </c>
      <c r="C32" s="127">
        <f>DATE(Jaartal,November!$B$3,November!$B32)</f>
        <v>44163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6"/>
      <c r="AI32" s="104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6"/>
      <c r="BN32" s="104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6"/>
      <c r="CS32" s="104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6"/>
      <c r="DX32" s="128"/>
      <c r="DY32" s="128"/>
      <c r="DZ32" s="128"/>
      <c r="EA32" s="128"/>
      <c r="EB32" s="128"/>
      <c r="EC32" s="128"/>
      <c r="ED32" s="128"/>
      <c r="EE32" s="128"/>
      <c r="EF32" s="128"/>
      <c r="EG32" s="128"/>
      <c r="EH32" s="128"/>
      <c r="EI32" s="128"/>
      <c r="EJ32" s="128"/>
      <c r="EK32" s="128"/>
    </row>
    <row r="33" spans="1:141" x14ac:dyDescent="0.4">
      <c r="A33" s="74">
        <f t="shared" si="0"/>
        <v>1</v>
      </c>
      <c r="B33" s="74">
        <v>29</v>
      </c>
      <c r="C33" s="127">
        <f>DATE(Jaartal,November!$B$3,November!$B33)</f>
        <v>44164</v>
      </c>
      <c r="D33" s="104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6"/>
      <c r="AI33" s="104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6"/>
      <c r="BN33" s="104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6"/>
      <c r="CS33" s="104"/>
      <c r="CT33" s="105"/>
      <c r="CU33" s="105"/>
      <c r="CV33" s="105"/>
      <c r="CW33" s="105"/>
      <c r="CX33" s="105"/>
      <c r="CY33" s="105"/>
      <c r="CZ33" s="105"/>
      <c r="DA33" s="105"/>
      <c r="DB33" s="105"/>
      <c r="DC33" s="105"/>
      <c r="DD33" s="105"/>
      <c r="DE33" s="105"/>
      <c r="DF33" s="105"/>
      <c r="DG33" s="105"/>
      <c r="DH33" s="105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6"/>
      <c r="DX33" s="128"/>
      <c r="DY33" s="128"/>
      <c r="DZ33" s="128"/>
      <c r="EA33" s="128"/>
      <c r="EB33" s="128"/>
      <c r="EC33" s="128"/>
      <c r="ED33" s="128"/>
      <c r="EE33" s="128"/>
      <c r="EF33" s="128"/>
      <c r="EG33" s="128"/>
      <c r="EH33" s="128"/>
      <c r="EI33" s="128"/>
      <c r="EJ33" s="128"/>
      <c r="EK33" s="128"/>
    </row>
    <row r="34" spans="1:141" x14ac:dyDescent="0.4">
      <c r="A34" s="74">
        <f t="shared" si="0"/>
        <v>2</v>
      </c>
      <c r="B34" s="74">
        <v>30</v>
      </c>
      <c r="C34" s="127">
        <f>DATE(Jaartal,November!$B$3,November!$B34)</f>
        <v>44165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6"/>
      <c r="AI34" s="104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6"/>
      <c r="BN34" s="104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6"/>
      <c r="CS34" s="104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5"/>
      <c r="DH34" s="105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6"/>
      <c r="DX34" s="128"/>
      <c r="DY34" s="128"/>
      <c r="DZ34" s="128"/>
      <c r="EA34" s="128"/>
      <c r="EB34" s="128"/>
      <c r="EC34" s="128"/>
      <c r="ED34" s="128"/>
      <c r="EE34" s="128"/>
      <c r="EF34" s="128"/>
      <c r="EG34" s="128"/>
      <c r="EH34" s="128"/>
      <c r="EI34" s="128"/>
      <c r="EJ34" s="128"/>
      <c r="EK34" s="128"/>
    </row>
    <row r="35" spans="1:141" x14ac:dyDescent="0.4">
      <c r="A35" s="74">
        <f t="shared" si="0"/>
        <v>3</v>
      </c>
      <c r="B35" s="74">
        <v>31</v>
      </c>
      <c r="C35" s="127">
        <f>DATE(Jaartal,November!$B$3,November!$B35)</f>
        <v>44166</v>
      </c>
      <c r="D35" s="104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6"/>
      <c r="AI35" s="104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6"/>
      <c r="BN35" s="104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6"/>
      <c r="CS35" s="108"/>
      <c r="CT35" s="105"/>
      <c r="CU35" s="105"/>
      <c r="CV35" s="105"/>
      <c r="CW35" s="105"/>
      <c r="CX35" s="105"/>
      <c r="CY35" s="105"/>
      <c r="CZ35" s="105"/>
      <c r="DA35" s="105"/>
      <c r="DB35" s="105"/>
      <c r="DC35" s="105"/>
      <c r="DD35" s="105"/>
      <c r="DE35" s="105"/>
      <c r="DF35" s="105"/>
      <c r="DG35" s="105"/>
      <c r="DH35" s="105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6"/>
      <c r="DX35" s="128"/>
      <c r="DY35" s="128"/>
      <c r="DZ35" s="128"/>
      <c r="EA35" s="128"/>
      <c r="EB35" s="128"/>
      <c r="EC35" s="128"/>
      <c r="ED35" s="128"/>
      <c r="EE35" s="128"/>
      <c r="EF35" s="128"/>
      <c r="EG35" s="128"/>
      <c r="EH35" s="128"/>
      <c r="EI35" s="128"/>
      <c r="EJ35" s="128"/>
      <c r="EK35" s="128"/>
    </row>
    <row r="36" spans="1:141" x14ac:dyDescent="0.4">
      <c r="BR36" s="128"/>
      <c r="BS36" s="128"/>
      <c r="BT36" s="128"/>
      <c r="BU36" s="128"/>
      <c r="BV36" s="128"/>
      <c r="BY36" s="128"/>
      <c r="BZ36" s="128"/>
      <c r="CB36" s="128"/>
      <c r="CC36" s="128"/>
      <c r="CD36" s="128"/>
      <c r="CE36" s="128"/>
      <c r="CF36" s="128"/>
      <c r="CG36" s="128"/>
      <c r="CH36" s="128"/>
      <c r="CI36" s="128"/>
      <c r="CJ36" s="128"/>
      <c r="CK36" s="128"/>
      <c r="CL36" s="128"/>
      <c r="CM36" s="128"/>
      <c r="CN36" s="128"/>
      <c r="CO36" s="128"/>
      <c r="CP36" s="128"/>
      <c r="CQ36" s="128"/>
      <c r="CW36" s="128"/>
      <c r="CX36" s="128"/>
      <c r="CY36" s="128"/>
      <c r="CZ36" s="128"/>
      <c r="DA36" s="128"/>
      <c r="DD36" s="128"/>
      <c r="DE36" s="128"/>
      <c r="DG36" s="128"/>
      <c r="DH36" s="128"/>
      <c r="DI36" s="128"/>
      <c r="DJ36" s="128"/>
      <c r="DK36" s="128"/>
      <c r="DL36" s="128"/>
      <c r="DM36" s="128"/>
      <c r="DN36" s="128"/>
      <c r="DO36" s="128"/>
      <c r="DP36" s="128"/>
      <c r="DQ36" s="128"/>
      <c r="DR36" s="128"/>
      <c r="DS36" s="128"/>
      <c r="DT36" s="128"/>
      <c r="DU36" s="128"/>
      <c r="DV36" s="128"/>
    </row>
    <row r="38" spans="1:141" ht="13.5" thickBot="1" x14ac:dyDescent="0.45"/>
    <row r="39" spans="1:141" ht="13.5" thickBot="1" x14ac:dyDescent="0.45">
      <c r="D39" s="109" t="s">
        <v>7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1"/>
    </row>
    <row r="40" spans="1:141" ht="13.5" thickBot="1" x14ac:dyDescent="0.45">
      <c r="D40" s="112">
        <v>1</v>
      </c>
      <c r="E40" s="113" t="s">
        <v>4</v>
      </c>
      <c r="F40" s="113"/>
      <c r="G40" s="113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5"/>
    </row>
    <row r="41" spans="1:141" ht="13.5" thickBot="1" x14ac:dyDescent="0.45">
      <c r="D41" s="116">
        <v>2</v>
      </c>
      <c r="E41" s="117" t="s">
        <v>79</v>
      </c>
      <c r="F41" s="117"/>
      <c r="G41" s="117"/>
      <c r="H41" s="117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9"/>
    </row>
    <row r="42" spans="1:141" ht="13.5" thickBot="1" x14ac:dyDescent="0.45">
      <c r="D42" s="120">
        <v>3</v>
      </c>
      <c r="E42" s="117" t="s">
        <v>66</v>
      </c>
      <c r="F42" s="117"/>
      <c r="G42" s="117"/>
      <c r="H42" s="117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9"/>
    </row>
    <row r="43" spans="1:141" ht="13.5" thickBot="1" x14ac:dyDescent="0.45">
      <c r="D43" s="121"/>
      <c r="E43" s="122" t="s">
        <v>80</v>
      </c>
      <c r="F43" s="122"/>
      <c r="G43" s="122"/>
      <c r="H43" s="12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4"/>
    </row>
    <row r="44" spans="1:141" x14ac:dyDescent="0.4">
      <c r="D44" s="129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1"/>
      <c r="AI44" s="131"/>
      <c r="AR44" s="130"/>
      <c r="AS44" s="130"/>
      <c r="AV44" s="130"/>
      <c r="BW44" s="130"/>
      <c r="BX44" s="130"/>
      <c r="CA44" s="130"/>
      <c r="DB44" s="130"/>
      <c r="DC44" s="130"/>
      <c r="DF44" s="130"/>
    </row>
    <row r="52" spans="33:34" x14ac:dyDescent="0.4">
      <c r="AG52" s="128"/>
      <c r="AH52" s="128"/>
    </row>
    <row r="53" spans="33:34" x14ac:dyDescent="0.4">
      <c r="AG53" s="128"/>
      <c r="AH53" s="128"/>
    </row>
    <row r="54" spans="33:34" x14ac:dyDescent="0.4">
      <c r="AG54" s="128"/>
      <c r="AH54" s="128"/>
    </row>
    <row r="55" spans="33:34" x14ac:dyDescent="0.4">
      <c r="AG55" s="128"/>
      <c r="AH55" s="128"/>
    </row>
    <row r="56" spans="33:34" x14ac:dyDescent="0.4">
      <c r="AG56" s="128"/>
      <c r="AH56" s="128"/>
    </row>
  </sheetData>
  <sheetProtection sheet="1" objects="1" scenarios="1" selectLockedCells="1"/>
  <mergeCells count="13">
    <mergeCell ref="D39:AI39"/>
    <mergeCell ref="E40:AI40"/>
    <mergeCell ref="E41:AI41"/>
    <mergeCell ref="E42:AI42"/>
    <mergeCell ref="E43:AI43"/>
    <mergeCell ref="D1:AH1"/>
    <mergeCell ref="AI1:BM1"/>
    <mergeCell ref="BN1:CR1"/>
    <mergeCell ref="CS1:DW1"/>
    <mergeCell ref="AH3:AH4"/>
    <mergeCell ref="BM3:BM4"/>
    <mergeCell ref="CR3:CR4"/>
    <mergeCell ref="DW3:DW4"/>
  </mergeCells>
  <conditionalFormatting sqref="D5:L35 O5:AQ35 AT5:AU35 BY5:BZ35 DD5:DE35 AW5:BV35 CB5:DA35 DG5:DW35">
    <cfRule type="expression" dxfId="103" priority="29" stopIfTrue="1">
      <formula>D5=3</formula>
    </cfRule>
    <cfRule type="expression" dxfId="102" priority="30" stopIfTrue="1">
      <formula>D5=2</formula>
    </cfRule>
    <cfRule type="expression" dxfId="101" priority="31" stopIfTrue="1">
      <formula>D5=1</formula>
    </cfRule>
    <cfRule type="expression" dxfId="100" priority="32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99" priority="25" stopIfTrue="1">
      <formula>M5=3</formula>
    </cfRule>
    <cfRule type="expression" dxfId="98" priority="26" stopIfTrue="1">
      <formula>M5=2</formula>
    </cfRule>
    <cfRule type="expression" dxfId="97" priority="27" stopIfTrue="1">
      <formula>M5=1</formula>
    </cfRule>
    <cfRule type="expression" dxfId="96" priority="28" stopIfTrue="1">
      <formula>IF($A5=1,1,IF($A5=7,1,IF(M$2="Q",IF($A5=2,IF($B5&lt;8,IF(MOD($B$3,3)&lt;&gt;0,1,0),1),1),IF(M$2="M",IF($A5=2,IF($B5&gt;7,1,0),1),IF(M$2="W",IF($A5=2,0,1),0)))))</formula>
    </cfRule>
  </conditionalFormatting>
  <conditionalFormatting sqref="AR5:AS35">
    <cfRule type="expression" dxfId="95" priority="21" stopIfTrue="1">
      <formula>AR5=3</formula>
    </cfRule>
    <cfRule type="expression" dxfId="94" priority="22" stopIfTrue="1">
      <formula>AR5=2</formula>
    </cfRule>
    <cfRule type="expression" dxfId="93" priority="23" stopIfTrue="1">
      <formula>AR5=1</formula>
    </cfRule>
    <cfRule type="expression" dxfId="92" priority="24" stopIfTrue="1">
      <formula>IF($A5=1,1,IF($A5=7,1,IF(AR$2="Q",IF($A5=2,IF($B5&lt;8,IF(MOD($B$3,3)&lt;&gt;0,1,0),1),1),IF(AR$2="M",IF($A5=2,IF($B5&gt;7,1,0),1),IF(AR$2="W",IF($A5=2,0,1),0)))))</formula>
    </cfRule>
  </conditionalFormatting>
  <conditionalFormatting sqref="BW5:BX35">
    <cfRule type="expression" dxfId="91" priority="17" stopIfTrue="1">
      <formula>BW5=3</formula>
    </cfRule>
    <cfRule type="expression" dxfId="90" priority="18" stopIfTrue="1">
      <formula>BW5=2</formula>
    </cfRule>
    <cfRule type="expression" dxfId="89" priority="19" stopIfTrue="1">
      <formula>BW5=1</formula>
    </cfRule>
    <cfRule type="expression" dxfId="88" priority="20" stopIfTrue="1">
      <formula>IF($A5=1,1,IF($A5=7,1,IF(BW$2="Q",IF($A5=2,IF($B5&lt;8,IF(MOD($B$3,3)&lt;&gt;0,1,0),1),1),IF(BW$2="M",IF($A5=2,IF($B5&gt;7,1,0),1),IF(BW$2="W",IF($A5=2,0,1),0)))))</formula>
    </cfRule>
  </conditionalFormatting>
  <conditionalFormatting sqref="DB5:DC35">
    <cfRule type="expression" dxfId="87" priority="13" stopIfTrue="1">
      <formula>DB5=3</formula>
    </cfRule>
    <cfRule type="expression" dxfId="86" priority="14" stopIfTrue="1">
      <formula>DB5=2</formula>
    </cfRule>
    <cfRule type="expression" dxfId="85" priority="15" stopIfTrue="1">
      <formula>DB5=1</formula>
    </cfRule>
    <cfRule type="expression" dxfId="84" priority="16" stopIfTrue="1">
      <formula>IF($A5=1,1,IF($A5=7,1,IF(DB$2="Q",IF($A5=2,IF($B5&lt;8,IF(MOD($B$3,3)&lt;&gt;0,1,0),1),1),IF(DB$2="M",IF($A5=2,IF($B5&gt;7,1,0),1),IF(DB$2="W",IF($A5=2,0,1),0)))))</formula>
    </cfRule>
  </conditionalFormatting>
  <conditionalFormatting sqref="AV5:AV35">
    <cfRule type="expression" dxfId="83" priority="9" stopIfTrue="1">
      <formula>AV5=3</formula>
    </cfRule>
    <cfRule type="expression" dxfId="82" priority="10" stopIfTrue="1">
      <formula>AV5=2</formula>
    </cfRule>
    <cfRule type="expression" dxfId="81" priority="11" stopIfTrue="1">
      <formula>AV5=1</formula>
    </cfRule>
    <cfRule type="expression" dxfId="80" priority="12" stopIfTrue="1">
      <formula>IF($A5=1,1,IF($A5=7,1,IF(AV$2="Q",IF($A5=2,IF($B5&lt;8,IF(MOD($B$3,3)&lt;&gt;0,1,0),1),1),IF(AV$2="M",IF($A5=2,IF($B5&gt;7,1,0),1),IF(AV$2="W",IF($A5=2,0,1),0)))))</formula>
    </cfRule>
  </conditionalFormatting>
  <conditionalFormatting sqref="CA5:CA35">
    <cfRule type="expression" dxfId="79" priority="5" stopIfTrue="1">
      <formula>CA5=3</formula>
    </cfRule>
    <cfRule type="expression" dxfId="78" priority="6" stopIfTrue="1">
      <formula>CA5=2</formula>
    </cfRule>
    <cfRule type="expression" dxfId="77" priority="7" stopIfTrue="1">
      <formula>CA5=1</formula>
    </cfRule>
    <cfRule type="expression" dxfId="76" priority="8" stopIfTrue="1">
      <formula>IF($A5=1,1,IF($A5=7,1,IF(CA$2="Q",IF($A5=2,IF($B5&lt;8,IF(MOD($B$3,3)&lt;&gt;0,1,0),1),1),IF(CA$2="M",IF($A5=2,IF($B5&gt;7,1,0),1),IF(CA$2="W",IF($A5=2,0,1),0)))))</formula>
    </cfRule>
  </conditionalFormatting>
  <conditionalFormatting sqref="DF5:DF35">
    <cfRule type="expression" dxfId="75" priority="1" stopIfTrue="1">
      <formula>DF5=3</formula>
    </cfRule>
    <cfRule type="expression" dxfId="74" priority="2" stopIfTrue="1">
      <formula>DF5=2</formula>
    </cfRule>
    <cfRule type="expression" dxfId="73" priority="3" stopIfTrue="1">
      <formula>DF5=1</formula>
    </cfRule>
    <cfRule type="expression" dxfId="72" priority="4" stopIfTrue="1">
      <formula>IF($A5=1,1,IF($A5=7,1,IF(DF$2="Q",IF($A5=2,IF($B5&lt;8,IF(MOD($B$3,3)&lt;&gt;0,1,0),1),1),IF(DF$2="M",IF($A5=2,IF($B5&gt;7,1,0),1),IF(DF$2="W",IF($A5=2,0,1),0)))))</formula>
    </cfRule>
  </conditionalFormatting>
  <dataValidations count="4">
    <dataValidation type="list" allowBlank="1" showInputMessage="1" showErrorMessage="1" sqref="D2:AG2 AR2:AS2 BW2:BX2 DB2:DC2 AV2 CA2 DF2" xr:uid="{987B642D-8623-4B1E-9BDD-80767519EB30}">
      <formula1>"D,W,M,Q"</formula1>
    </dataValidation>
    <dataValidation type="list" allowBlank="1" showInputMessage="1" showErrorMessage="1" sqref="DW5:DW35 CR5:CR35 BM5:BM35 AH5:AH35" xr:uid="{0449E682-9658-4D0D-9C8B-27ADAE3C5689}">
      <formula1>List_Personen</formula1>
    </dataValidation>
    <dataValidation type="list" allowBlank="1" showInputMessage="1" showErrorMessage="1" sqref="C3" xr:uid="{184734D5-32DC-47EC-8AAC-453BF05737C8}">
      <formula1>List_Maanden</formula1>
    </dataValidation>
    <dataValidation type="list" allowBlank="1" showInputMessage="1" showErrorMessage="1" sqref="D5:AG35 BN5:CQ35 AI5:BL35 CS5:DV35" xr:uid="{BC855466-1BC4-46E7-AFA8-D6B7A8E8926D}">
      <formula1>Status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F1654-547C-4F97-980A-5FD503545CCC}">
  <sheetPr codeName="Sheet9"/>
  <dimension ref="A1:EK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3.15" x14ac:dyDescent="0.4"/>
  <cols>
    <col min="1" max="1" width="8.796875" style="74" hidden="1" customWidth="1"/>
    <col min="2" max="2" width="4.265625" style="74" hidden="1" customWidth="1"/>
    <col min="3" max="3" width="26.6640625" style="74" bestFit="1" customWidth="1"/>
    <col min="4" max="5" width="3.19921875" style="74" bestFit="1" customWidth="1"/>
    <col min="6" max="8" width="3.19921875" style="74" customWidth="1"/>
    <col min="9" max="10" width="3.19921875" style="74" bestFit="1" customWidth="1"/>
    <col min="11" max="18" width="3.19921875" style="74" customWidth="1"/>
    <col min="19" max="19" width="3.19921875" style="74" bestFit="1" customWidth="1"/>
    <col min="20" max="24" width="3.19921875" style="74" customWidth="1"/>
    <col min="25" max="25" width="3.19921875" style="74" bestFit="1" customWidth="1"/>
    <col min="26" max="32" width="3.19921875" style="74" customWidth="1"/>
    <col min="33" max="33" width="2.73046875" style="74" bestFit="1" customWidth="1"/>
    <col min="34" max="34" width="14" style="74" bestFit="1" customWidth="1"/>
    <col min="35" max="39" width="3.19921875" style="74" bestFit="1" customWidth="1"/>
    <col min="40" max="46" width="3.19921875" style="74" customWidth="1"/>
    <col min="47" max="47" width="3.19921875" style="74" bestFit="1" customWidth="1"/>
    <col min="48" max="48" width="3.19921875" style="74" customWidth="1"/>
    <col min="49" max="49" width="3.19921875" style="74" bestFit="1" customWidth="1"/>
    <col min="50" max="50" width="2.73046875" style="74" bestFit="1" customWidth="1"/>
    <col min="51" max="64" width="2.73046875" style="74" customWidth="1"/>
    <col min="65" max="65" width="14" style="74" bestFit="1" customWidth="1"/>
    <col min="66" max="70" width="3.19921875" style="74" bestFit="1" customWidth="1"/>
    <col min="71" max="77" width="3.19921875" style="74" customWidth="1"/>
    <col min="78" max="78" width="3.19921875" style="74" bestFit="1" customWidth="1"/>
    <col min="79" max="79" width="3.19921875" style="74" customWidth="1"/>
    <col min="80" max="80" width="3.19921875" style="74" bestFit="1" customWidth="1"/>
    <col min="81" max="81" width="2.73046875" style="74" bestFit="1" customWidth="1"/>
    <col min="82" max="95" width="2.73046875" style="74" customWidth="1"/>
    <col min="96" max="96" width="14" style="74" bestFit="1" customWidth="1"/>
    <col min="97" max="102" width="3.19921875" style="74" bestFit="1" customWidth="1"/>
    <col min="103" max="110" width="3.19921875" style="74" customWidth="1"/>
    <col min="111" max="111" width="3.19921875" style="74" bestFit="1" customWidth="1"/>
    <col min="112" max="112" width="2.73046875" style="74" bestFit="1" customWidth="1"/>
    <col min="113" max="126" width="2.73046875" style="74" customWidth="1"/>
    <col min="127" max="127" width="14" style="74" bestFit="1" customWidth="1"/>
    <col min="128" max="128" width="6" style="74" customWidth="1"/>
    <col min="129" max="16384" width="9.06640625" style="74"/>
  </cols>
  <sheetData>
    <row r="1" spans="1:141" ht="18.399999999999999" thickBot="1" x14ac:dyDescent="0.6">
      <c r="C1" s="75" t="s">
        <v>5</v>
      </c>
      <c r="D1" s="76" t="s">
        <v>44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8"/>
      <c r="AI1" s="79" t="s">
        <v>45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1"/>
      <c r="BN1" s="82" t="s">
        <v>46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4"/>
      <c r="CS1" s="85" t="s">
        <v>47</v>
      </c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7"/>
    </row>
    <row r="2" spans="1:141" ht="13.5" thickBot="1" x14ac:dyDescent="0.45">
      <c r="A2" s="74" t="s">
        <v>13</v>
      </c>
      <c r="B2" s="74" t="s">
        <v>14</v>
      </c>
      <c r="C2" s="88" t="s">
        <v>3</v>
      </c>
      <c r="D2" s="89" t="str">
        <f>+Template!D2</f>
        <v>D</v>
      </c>
      <c r="E2" s="90" t="str">
        <f>+Template!E2</f>
        <v>D</v>
      </c>
      <c r="F2" s="90" t="str">
        <f>+Template!F2</f>
        <v>D</v>
      </c>
      <c r="G2" s="90" t="str">
        <f>+Template!G2</f>
        <v>D</v>
      </c>
      <c r="H2" s="90" t="str">
        <f>+Template!H2</f>
        <v>D</v>
      </c>
      <c r="I2" s="91" t="str">
        <f>+Template!I2</f>
        <v>D</v>
      </c>
      <c r="J2" s="91" t="str">
        <f>+Template!J2</f>
        <v>D</v>
      </c>
      <c r="K2" s="91" t="str">
        <f>+Template!K2</f>
        <v>D</v>
      </c>
      <c r="L2" s="91" t="str">
        <f>+Template!L2</f>
        <v>D</v>
      </c>
      <c r="M2" s="91" t="s">
        <v>2</v>
      </c>
      <c r="N2" s="91" t="s">
        <v>2</v>
      </c>
      <c r="O2" s="91" t="str">
        <f>+Template!O2</f>
        <v>D</v>
      </c>
      <c r="P2" s="91" t="str">
        <f>+Template!P2</f>
        <v>D</v>
      </c>
      <c r="Q2" s="91" t="s">
        <v>2</v>
      </c>
      <c r="R2" s="91" t="str">
        <f>+Template!R2</f>
        <v>D</v>
      </c>
      <c r="S2" s="91" t="str">
        <f>+Template!S2</f>
        <v>D</v>
      </c>
      <c r="T2" s="91" t="str">
        <f>+Template!T2</f>
        <v>D</v>
      </c>
      <c r="U2" s="91" t="str">
        <f>+Template!U2</f>
        <v>D</v>
      </c>
      <c r="V2" s="91" t="str">
        <f>+Template!V2</f>
        <v>D</v>
      </c>
      <c r="W2" s="91" t="str">
        <f>+Template!W2</f>
        <v>D</v>
      </c>
      <c r="X2" s="91" t="str">
        <f>+Template!X2</f>
        <v>W</v>
      </c>
      <c r="Y2" s="91" t="str">
        <f>+Template!Y2</f>
        <v>W</v>
      </c>
      <c r="Z2" s="91" t="str">
        <f>+Template!Z2</f>
        <v>W</v>
      </c>
      <c r="AA2" s="91" t="str">
        <f>+Template!AA2</f>
        <v>W</v>
      </c>
      <c r="AB2" s="91" t="str">
        <f>+Template!AB2</f>
        <v>M</v>
      </c>
      <c r="AC2" s="91" t="str">
        <f>+Template!AC2</f>
        <v>M</v>
      </c>
      <c r="AD2" s="91" t="str">
        <f>+Template!AD2</f>
        <v>M</v>
      </c>
      <c r="AE2" s="91" t="str">
        <f>+Template!AE2</f>
        <v>M</v>
      </c>
      <c r="AF2" s="91" t="str">
        <f>+Template!AF2</f>
        <v>Q</v>
      </c>
      <c r="AG2" s="91" t="str">
        <f>+Template!AG2</f>
        <v>Q</v>
      </c>
      <c r="AH2" s="92"/>
      <c r="AI2" s="89" t="str">
        <f>+Template!D2</f>
        <v>D</v>
      </c>
      <c r="AJ2" s="90" t="str">
        <f>+Template!E2</f>
        <v>D</v>
      </c>
      <c r="AK2" s="90" t="str">
        <f>+Template!F2</f>
        <v>D</v>
      </c>
      <c r="AL2" s="90" t="str">
        <f>+Template!G2</f>
        <v>D</v>
      </c>
      <c r="AM2" s="90" t="str">
        <f>+Template!H2</f>
        <v>D</v>
      </c>
      <c r="AN2" s="90" t="str">
        <f>+Template!I2</f>
        <v>D</v>
      </c>
      <c r="AO2" s="90" t="str">
        <f>+Template!J2</f>
        <v>D</v>
      </c>
      <c r="AP2" s="90" t="str">
        <f>+Template!K2</f>
        <v>D</v>
      </c>
      <c r="AQ2" s="90" t="str">
        <f>+Template!L2</f>
        <v>D</v>
      </c>
      <c r="AR2" s="91" t="s">
        <v>2</v>
      </c>
      <c r="AS2" s="91" t="s">
        <v>2</v>
      </c>
      <c r="AT2" s="90" t="str">
        <f>+Template!O2</f>
        <v>D</v>
      </c>
      <c r="AU2" s="91" t="str">
        <f>+Template!P2</f>
        <v>D</v>
      </c>
      <c r="AV2" s="91" t="s">
        <v>2</v>
      </c>
      <c r="AW2" s="91" t="str">
        <f>+Template!R2</f>
        <v>D</v>
      </c>
      <c r="AX2" s="91" t="str">
        <f>+Template!S2</f>
        <v>D</v>
      </c>
      <c r="AY2" s="91" t="str">
        <f>+Template!T2</f>
        <v>D</v>
      </c>
      <c r="AZ2" s="91" t="str">
        <f>+Template!U2</f>
        <v>D</v>
      </c>
      <c r="BA2" s="91" t="str">
        <f>+Template!V2</f>
        <v>D</v>
      </c>
      <c r="BB2" s="91" t="str">
        <f>+Template!W2</f>
        <v>D</v>
      </c>
      <c r="BC2" s="91" t="str">
        <f>+Template!X2</f>
        <v>W</v>
      </c>
      <c r="BD2" s="91" t="str">
        <f>+Template!Y2</f>
        <v>W</v>
      </c>
      <c r="BE2" s="91" t="str">
        <f>+Template!Z2</f>
        <v>W</v>
      </c>
      <c r="BF2" s="91" t="str">
        <f>+Template!AA2</f>
        <v>W</v>
      </c>
      <c r="BG2" s="91" t="str">
        <f>+Template!AB2</f>
        <v>M</v>
      </c>
      <c r="BH2" s="91" t="str">
        <f>+Template!AC2</f>
        <v>M</v>
      </c>
      <c r="BI2" s="91" t="str">
        <f>+Template!AD2</f>
        <v>M</v>
      </c>
      <c r="BJ2" s="91" t="str">
        <f>+Template!AE2</f>
        <v>M</v>
      </c>
      <c r="BK2" s="91" t="str">
        <f>+Template!AF2</f>
        <v>Q</v>
      </c>
      <c r="BL2" s="91" t="str">
        <f>+Template!AG2</f>
        <v>Q</v>
      </c>
      <c r="BM2" s="92"/>
      <c r="BN2" s="89" t="str">
        <f>+Template!D2</f>
        <v>D</v>
      </c>
      <c r="BO2" s="90" t="str">
        <f>+Template!E2</f>
        <v>D</v>
      </c>
      <c r="BP2" s="90" t="str">
        <f>+Template!F2</f>
        <v>D</v>
      </c>
      <c r="BQ2" s="90" t="str">
        <f>+Template!G2</f>
        <v>D</v>
      </c>
      <c r="BR2" s="90" t="str">
        <f>+Template!H2</f>
        <v>D</v>
      </c>
      <c r="BS2" s="90" t="str">
        <f>+Template!I2</f>
        <v>D</v>
      </c>
      <c r="BT2" s="90" t="str">
        <f>+Template!J2</f>
        <v>D</v>
      </c>
      <c r="BU2" s="90" t="str">
        <f>+Template!K2</f>
        <v>D</v>
      </c>
      <c r="BV2" s="90" t="str">
        <f>+Template!L2</f>
        <v>D</v>
      </c>
      <c r="BW2" s="91" t="s">
        <v>2</v>
      </c>
      <c r="BX2" s="91" t="s">
        <v>2</v>
      </c>
      <c r="BY2" s="90" t="str">
        <f>+Template!O2</f>
        <v>D</v>
      </c>
      <c r="BZ2" s="91" t="str">
        <f>+Template!P2</f>
        <v>D</v>
      </c>
      <c r="CA2" s="91" t="s">
        <v>2</v>
      </c>
      <c r="CB2" s="91" t="str">
        <f>+Template!R2</f>
        <v>D</v>
      </c>
      <c r="CC2" s="91" t="str">
        <f>+Template!S2</f>
        <v>D</v>
      </c>
      <c r="CD2" s="91" t="str">
        <f>+Template!T2</f>
        <v>D</v>
      </c>
      <c r="CE2" s="91" t="str">
        <f>+Template!U2</f>
        <v>D</v>
      </c>
      <c r="CF2" s="91" t="str">
        <f>+Template!V2</f>
        <v>D</v>
      </c>
      <c r="CG2" s="91" t="str">
        <f>+Template!W2</f>
        <v>D</v>
      </c>
      <c r="CH2" s="91" t="str">
        <f>+Template!X2</f>
        <v>W</v>
      </c>
      <c r="CI2" s="91" t="str">
        <f>+Template!Y2</f>
        <v>W</v>
      </c>
      <c r="CJ2" s="91" t="str">
        <f>+Template!Z2</f>
        <v>W</v>
      </c>
      <c r="CK2" s="91" t="str">
        <f>+Template!AA2</f>
        <v>W</v>
      </c>
      <c r="CL2" s="91" t="str">
        <f>+Template!AB2</f>
        <v>M</v>
      </c>
      <c r="CM2" s="91" t="str">
        <f>+Template!AC2</f>
        <v>M</v>
      </c>
      <c r="CN2" s="91" t="str">
        <f>+Template!AD2</f>
        <v>M</v>
      </c>
      <c r="CO2" s="91" t="str">
        <f>+Template!AE2</f>
        <v>M</v>
      </c>
      <c r="CP2" s="91" t="str">
        <f>+Template!AF2</f>
        <v>Q</v>
      </c>
      <c r="CQ2" s="91" t="str">
        <f>+Template!AG2</f>
        <v>Q</v>
      </c>
      <c r="CR2" s="92"/>
      <c r="CS2" s="89" t="str">
        <f>+Template!D2</f>
        <v>D</v>
      </c>
      <c r="CT2" s="90" t="str">
        <f>+Template!E2</f>
        <v>D</v>
      </c>
      <c r="CU2" s="90" t="str">
        <f>+Template!F2</f>
        <v>D</v>
      </c>
      <c r="CV2" s="90" t="str">
        <f>+Template!G2</f>
        <v>D</v>
      </c>
      <c r="CW2" s="90" t="str">
        <f>+Template!H2</f>
        <v>D</v>
      </c>
      <c r="CX2" s="91" t="str">
        <f>+Template!I2</f>
        <v>D</v>
      </c>
      <c r="CY2" s="91" t="str">
        <f>+Template!J2</f>
        <v>D</v>
      </c>
      <c r="CZ2" s="91" t="str">
        <f>+Template!K2</f>
        <v>D</v>
      </c>
      <c r="DA2" s="91" t="str">
        <f>+Template!L2</f>
        <v>D</v>
      </c>
      <c r="DB2" s="91" t="s">
        <v>2</v>
      </c>
      <c r="DC2" s="91" t="s">
        <v>2</v>
      </c>
      <c r="DD2" s="91" t="str">
        <f>+Template!O2</f>
        <v>D</v>
      </c>
      <c r="DE2" s="91" t="str">
        <f>+Template!P2</f>
        <v>D</v>
      </c>
      <c r="DF2" s="91" t="s">
        <v>2</v>
      </c>
      <c r="DG2" s="91" t="str">
        <f>+Template!R2</f>
        <v>D</v>
      </c>
      <c r="DH2" s="91" t="str">
        <f>+Template!S2</f>
        <v>D</v>
      </c>
      <c r="DI2" s="91" t="str">
        <f>+Template!T2</f>
        <v>D</v>
      </c>
      <c r="DJ2" s="91" t="str">
        <f>+Template!U2</f>
        <v>D</v>
      </c>
      <c r="DK2" s="91" t="str">
        <f>+Template!V2</f>
        <v>D</v>
      </c>
      <c r="DL2" s="91" t="str">
        <f>+Template!W2</f>
        <v>D</v>
      </c>
      <c r="DM2" s="91" t="str">
        <f>+Template!X2</f>
        <v>W</v>
      </c>
      <c r="DN2" s="91" t="str">
        <f>+Template!Y2</f>
        <v>W</v>
      </c>
      <c r="DO2" s="91" t="str">
        <f>+Template!Z2</f>
        <v>W</v>
      </c>
      <c r="DP2" s="91" t="str">
        <f>+Template!AA2</f>
        <v>W</v>
      </c>
      <c r="DQ2" s="91" t="str">
        <f>+Template!AB2</f>
        <v>M</v>
      </c>
      <c r="DR2" s="91" t="str">
        <f>+Template!AC2</f>
        <v>M</v>
      </c>
      <c r="DS2" s="91" t="str">
        <f>+Template!AD2</f>
        <v>M</v>
      </c>
      <c r="DT2" s="91" t="str">
        <f>+Template!AE2</f>
        <v>M</v>
      </c>
      <c r="DU2" s="91" t="str">
        <f>+Template!AF2</f>
        <v>Q</v>
      </c>
      <c r="DV2" s="91" t="str">
        <f>+Template!AG2</f>
        <v>Q</v>
      </c>
      <c r="DW2" s="92"/>
    </row>
    <row r="3" spans="1:141" ht="150" x14ac:dyDescent="0.4">
      <c r="B3" s="74">
        <f>VLOOKUP(C3,Data!E2:F13,2,FALSE)</f>
        <v>12</v>
      </c>
      <c r="C3" s="93" t="s">
        <v>12</v>
      </c>
      <c r="D3" s="94" t="str">
        <f>+Template!D3</f>
        <v>Quick environment check</v>
      </c>
      <c r="E3" s="95" t="str">
        <f>+Template!E3</f>
        <v>Health Analyzer Issues</v>
      </c>
      <c r="F3" s="95" t="str">
        <f>+Template!F3</f>
        <v>Content Database Status</v>
      </c>
      <c r="G3" s="95" t="str">
        <f>+Template!G3</f>
        <v>Upgrade Status Servers</v>
      </c>
      <c r="H3" s="95" t="str">
        <f>+Template!H3</f>
        <v>Upgrade Status Databases</v>
      </c>
      <c r="I3" s="95" t="str">
        <f>+Template!I3</f>
        <v>Failed Timer Jobs</v>
      </c>
      <c r="J3" s="95" t="str">
        <f>+Template!J3</f>
        <v>Deployment Status Solutions</v>
      </c>
      <c r="K3" s="95" t="str">
        <f>+Template!K3</f>
        <v>Content Database Size</v>
      </c>
      <c r="L3" s="95" t="str">
        <f>+Template!L3</f>
        <v>Service Application Status</v>
      </c>
      <c r="M3" s="95" t="s">
        <v>98</v>
      </c>
      <c r="N3" s="95" t="s">
        <v>99</v>
      </c>
      <c r="O3" s="95" t="str">
        <f>+Template!O3</f>
        <v>Search Topology</v>
      </c>
      <c r="P3" s="95" t="str">
        <f>+Template!P3</f>
        <v>Search Gatherer Logs</v>
      </c>
      <c r="Q3" s="95" t="s">
        <v>100</v>
      </c>
      <c r="R3" s="95" t="str">
        <f>+Template!R3</f>
        <v>Last Boot Time</v>
      </c>
      <c r="S3" s="95" t="str">
        <f>+Template!S3</f>
        <v>Running Services Check</v>
      </c>
      <c r="T3" s="95" t="str">
        <f>+Template!T3</f>
        <v>Scheduled Tasks</v>
      </c>
      <c r="U3" s="95" t="str">
        <f>+Template!U3</f>
        <v>Running websites en application pools</v>
      </c>
      <c r="V3" s="95" t="str">
        <f>+Template!V3</f>
        <v>Group Membership Check</v>
      </c>
      <c r="W3" s="95" t="str">
        <f>+Template!W3</f>
        <v>Backup Status</v>
      </c>
      <c r="X3" s="95" t="str">
        <f>+Template!X3</f>
        <v>Permissions Check</v>
      </c>
      <c r="Y3" s="95" t="str">
        <f>+Template!Y3</f>
        <v>New Updates</v>
      </c>
      <c r="Z3" s="95" t="str">
        <f>+Template!Z3</f>
        <v>Baseline Settings</v>
      </c>
      <c r="AA3" s="95" t="str">
        <f>+Template!AA3</f>
        <v>Access Check</v>
      </c>
      <c r="AB3" s="95" t="str">
        <f>+Template!AB3</f>
        <v>Missing Security Updates/Service Packs</v>
      </c>
      <c r="AC3" s="95" t="str">
        <f>+Template!AC3</f>
        <v>Policy Compliance</v>
      </c>
      <c r="AD3" s="95" t="str">
        <f>+Template!AD3</f>
        <v>Documentation Check</v>
      </c>
      <c r="AE3" s="95" t="str">
        <f>+Template!AE3</f>
        <v>SSL Certificates Check</v>
      </c>
      <c r="AF3" s="95" t="str">
        <f>+Template!AF3</f>
        <v>Disaster Recovery Test</v>
      </c>
      <c r="AG3" s="95" t="str">
        <f>+Template!AG3</f>
        <v>Lifecycle Check</v>
      </c>
      <c r="AH3" s="96" t="str">
        <f>+Template!AH3</f>
        <v>Performed by:</v>
      </c>
      <c r="AI3" s="94" t="str">
        <f>+Template!D3</f>
        <v>Quick environment check</v>
      </c>
      <c r="AJ3" s="95" t="str">
        <f>+Template!E3</f>
        <v>Health Analyzer Issues</v>
      </c>
      <c r="AK3" s="95" t="str">
        <f>+Template!F3</f>
        <v>Content Database Status</v>
      </c>
      <c r="AL3" s="95" t="str">
        <f>+Template!G3</f>
        <v>Upgrade Status Servers</v>
      </c>
      <c r="AM3" s="95" t="str">
        <f>+Template!H3</f>
        <v>Upgrade Status Databases</v>
      </c>
      <c r="AN3" s="95" t="str">
        <f>+Template!I3</f>
        <v>Failed Timer Jobs</v>
      </c>
      <c r="AO3" s="95" t="str">
        <f>+Template!J3</f>
        <v>Deployment Status Solutions</v>
      </c>
      <c r="AP3" s="95" t="str">
        <f>+Template!K3</f>
        <v>Content Database Size</v>
      </c>
      <c r="AQ3" s="95" t="str">
        <f>+Template!L3</f>
        <v>Service Application Status</v>
      </c>
      <c r="AR3" s="95" t="s">
        <v>98</v>
      </c>
      <c r="AS3" s="95" t="s">
        <v>99</v>
      </c>
      <c r="AT3" s="95" t="str">
        <f>+Template!O3</f>
        <v>Search Topology</v>
      </c>
      <c r="AU3" s="95" t="str">
        <f>+Template!P3</f>
        <v>Search Gatherer Logs</v>
      </c>
      <c r="AV3" s="95" t="s">
        <v>100</v>
      </c>
      <c r="AW3" s="95" t="str">
        <f>+Template!R3</f>
        <v>Last Boot Time</v>
      </c>
      <c r="AX3" s="95" t="str">
        <f>+Template!S3</f>
        <v>Running Services Check</v>
      </c>
      <c r="AY3" s="95" t="str">
        <f>+Template!T3</f>
        <v>Scheduled Tasks</v>
      </c>
      <c r="AZ3" s="95" t="str">
        <f>+Template!U3</f>
        <v>Running websites en application pools</v>
      </c>
      <c r="BA3" s="95" t="str">
        <f>+Template!V3</f>
        <v>Group Membership Check</v>
      </c>
      <c r="BB3" s="95" t="str">
        <f>+Template!W3</f>
        <v>Backup Status</v>
      </c>
      <c r="BC3" s="95" t="str">
        <f>+Template!X3</f>
        <v>Permissions Check</v>
      </c>
      <c r="BD3" s="95" t="str">
        <f>+Template!Y3</f>
        <v>New Updates</v>
      </c>
      <c r="BE3" s="95" t="str">
        <f>+Template!Z3</f>
        <v>Baseline Settings</v>
      </c>
      <c r="BF3" s="95" t="str">
        <f>+Template!AA3</f>
        <v>Access Check</v>
      </c>
      <c r="BG3" s="95" t="str">
        <f>+Template!AB3</f>
        <v>Missing Security Updates/Service Packs</v>
      </c>
      <c r="BH3" s="95" t="str">
        <f>+Template!AC3</f>
        <v>Policy Compliance</v>
      </c>
      <c r="BI3" s="95" t="str">
        <f>+Template!AD3</f>
        <v>Documentation Check</v>
      </c>
      <c r="BJ3" s="95" t="str">
        <f>+Template!AE3</f>
        <v>SSL Certificates Check</v>
      </c>
      <c r="BK3" s="95" t="str">
        <f>+Template!AF3</f>
        <v>Disaster Recovery Test</v>
      </c>
      <c r="BL3" s="95" t="str">
        <f>+Template!AG3</f>
        <v>Lifecycle Check</v>
      </c>
      <c r="BM3" s="96" t="str">
        <f>+Template!AH3</f>
        <v>Performed by:</v>
      </c>
      <c r="BN3" s="94" t="str">
        <f>+Template!D3</f>
        <v>Quick environment check</v>
      </c>
      <c r="BO3" s="95" t="str">
        <f>+Template!E3</f>
        <v>Health Analyzer Issues</v>
      </c>
      <c r="BP3" s="95" t="str">
        <f>+Template!F3</f>
        <v>Content Database Status</v>
      </c>
      <c r="BQ3" s="95" t="str">
        <f>+Template!G3</f>
        <v>Upgrade Status Servers</v>
      </c>
      <c r="BR3" s="95" t="str">
        <f>+Template!H3</f>
        <v>Upgrade Status Databases</v>
      </c>
      <c r="BS3" s="95" t="str">
        <f>+Template!I3</f>
        <v>Failed Timer Jobs</v>
      </c>
      <c r="BT3" s="95" t="str">
        <f>+Template!J3</f>
        <v>Deployment Status Solutions</v>
      </c>
      <c r="BU3" s="95" t="str">
        <f>+Template!K3</f>
        <v>Content Database Size</v>
      </c>
      <c r="BV3" s="95" t="str">
        <f>+Template!L3</f>
        <v>Service Application Status</v>
      </c>
      <c r="BW3" s="95" t="s">
        <v>98</v>
      </c>
      <c r="BX3" s="95" t="s">
        <v>99</v>
      </c>
      <c r="BY3" s="95" t="str">
        <f>+Template!O3</f>
        <v>Search Topology</v>
      </c>
      <c r="BZ3" s="95" t="str">
        <f>+Template!P3</f>
        <v>Search Gatherer Logs</v>
      </c>
      <c r="CA3" s="95" t="s">
        <v>100</v>
      </c>
      <c r="CB3" s="95" t="str">
        <f>+Template!R3</f>
        <v>Last Boot Time</v>
      </c>
      <c r="CC3" s="95" t="str">
        <f>+Template!S3</f>
        <v>Running Services Check</v>
      </c>
      <c r="CD3" s="95" t="str">
        <f>+Template!T3</f>
        <v>Scheduled Tasks</v>
      </c>
      <c r="CE3" s="95" t="str">
        <f>+Template!U3</f>
        <v>Running websites en application pools</v>
      </c>
      <c r="CF3" s="95" t="str">
        <f>+Template!V3</f>
        <v>Group Membership Check</v>
      </c>
      <c r="CG3" s="95" t="str">
        <f>+Template!W3</f>
        <v>Backup Status</v>
      </c>
      <c r="CH3" s="95" t="str">
        <f>+Template!X3</f>
        <v>Permissions Check</v>
      </c>
      <c r="CI3" s="95" t="str">
        <f>+Template!Y3</f>
        <v>New Updates</v>
      </c>
      <c r="CJ3" s="95" t="str">
        <f>+Template!Z3</f>
        <v>Baseline Settings</v>
      </c>
      <c r="CK3" s="95" t="str">
        <f>+Template!AA3</f>
        <v>Access Check</v>
      </c>
      <c r="CL3" s="95" t="str">
        <f>+Template!AB3</f>
        <v>Missing Security Updates/Service Packs</v>
      </c>
      <c r="CM3" s="95" t="str">
        <f>+Template!AC3</f>
        <v>Policy Compliance</v>
      </c>
      <c r="CN3" s="95" t="str">
        <f>+Template!AD3</f>
        <v>Documentation Check</v>
      </c>
      <c r="CO3" s="95" t="str">
        <f>+Template!AE3</f>
        <v>SSL Certificates Check</v>
      </c>
      <c r="CP3" s="95" t="str">
        <f>+Template!AF3</f>
        <v>Disaster Recovery Test</v>
      </c>
      <c r="CQ3" s="95" t="str">
        <f>+Template!AG3</f>
        <v>Lifecycle Check</v>
      </c>
      <c r="CR3" s="96" t="str">
        <f>+Template!AH3</f>
        <v>Performed by:</v>
      </c>
      <c r="CS3" s="94" t="str">
        <f>+Template!D3</f>
        <v>Quick environment check</v>
      </c>
      <c r="CT3" s="95" t="str">
        <f>+Template!E3</f>
        <v>Health Analyzer Issues</v>
      </c>
      <c r="CU3" s="95" t="str">
        <f>+Template!F3</f>
        <v>Content Database Status</v>
      </c>
      <c r="CV3" s="95" t="str">
        <f>+Template!G3</f>
        <v>Upgrade Status Servers</v>
      </c>
      <c r="CW3" s="95" t="str">
        <f>+Template!H3</f>
        <v>Upgrade Status Databases</v>
      </c>
      <c r="CX3" s="95" t="str">
        <f>+Template!I3</f>
        <v>Failed Timer Jobs</v>
      </c>
      <c r="CY3" s="95" t="str">
        <f>+Template!J3</f>
        <v>Deployment Status Solutions</v>
      </c>
      <c r="CZ3" s="95" t="str">
        <f>+Template!K3</f>
        <v>Content Database Size</v>
      </c>
      <c r="DA3" s="95" t="str">
        <f>+Template!L3</f>
        <v>Service Application Status</v>
      </c>
      <c r="DB3" s="95" t="s">
        <v>98</v>
      </c>
      <c r="DC3" s="95" t="s">
        <v>99</v>
      </c>
      <c r="DD3" s="95" t="str">
        <f>+Template!O3</f>
        <v>Search Topology</v>
      </c>
      <c r="DE3" s="95" t="str">
        <f>+Template!P3</f>
        <v>Search Gatherer Logs</v>
      </c>
      <c r="DF3" s="95" t="s">
        <v>100</v>
      </c>
      <c r="DG3" s="95" t="str">
        <f>+Template!R3</f>
        <v>Last Boot Time</v>
      </c>
      <c r="DH3" s="95" t="str">
        <f>+Template!S3</f>
        <v>Running Services Check</v>
      </c>
      <c r="DI3" s="95" t="str">
        <f>+Template!T3</f>
        <v>Scheduled Tasks</v>
      </c>
      <c r="DJ3" s="95" t="str">
        <f>+Template!U3</f>
        <v>Running websites en application pools</v>
      </c>
      <c r="DK3" s="95" t="str">
        <f>+Template!V3</f>
        <v>Group Membership Check</v>
      </c>
      <c r="DL3" s="95" t="str">
        <f>+Template!W3</f>
        <v>Backup Status</v>
      </c>
      <c r="DM3" s="95" t="str">
        <f>+Template!X3</f>
        <v>Permissions Check</v>
      </c>
      <c r="DN3" s="95" t="str">
        <f>+Template!Y3</f>
        <v>New Updates</v>
      </c>
      <c r="DO3" s="95" t="str">
        <f>+Template!Z3</f>
        <v>Baseline Settings</v>
      </c>
      <c r="DP3" s="95" t="str">
        <f>+Template!AA3</f>
        <v>Access Check</v>
      </c>
      <c r="DQ3" s="95" t="str">
        <f>+Template!AB3</f>
        <v>Missing Security Updates/Service Packs</v>
      </c>
      <c r="DR3" s="95" t="str">
        <f>+Template!AC3</f>
        <v>Policy Compliance</v>
      </c>
      <c r="DS3" s="95" t="str">
        <f>+Template!AD3</f>
        <v>Documentation Check</v>
      </c>
      <c r="DT3" s="95" t="str">
        <f>+Template!AE3</f>
        <v>SSL Certificates Check</v>
      </c>
      <c r="DU3" s="95" t="str">
        <f>+Template!AF3</f>
        <v>Disaster Recovery Test</v>
      </c>
      <c r="DV3" s="95" t="str">
        <f>+Template!AG3</f>
        <v>Lifecycle Check</v>
      </c>
      <c r="DW3" s="96" t="str">
        <f>+Template!AH3</f>
        <v>Performed by:</v>
      </c>
      <c r="DX3" s="125"/>
      <c r="DY3" s="126"/>
      <c r="DZ3" s="126"/>
      <c r="EA3" s="126"/>
    </row>
    <row r="4" spans="1:141" ht="23.25" customHeight="1" thickBot="1" x14ac:dyDescent="0.45">
      <c r="C4" s="97">
        <f>Jaartal</f>
        <v>2020</v>
      </c>
      <c r="D4" s="94">
        <f>+Template!D4</f>
        <v>1</v>
      </c>
      <c r="E4" s="95">
        <f>+Template!E4</f>
        <v>10</v>
      </c>
      <c r="F4" s="95">
        <f>+Template!F4</f>
        <v>11</v>
      </c>
      <c r="G4" s="95">
        <f>+Template!G4</f>
        <v>12</v>
      </c>
      <c r="H4" s="95">
        <f>+Template!H4</f>
        <v>13</v>
      </c>
      <c r="I4" s="95">
        <f>+Template!I4</f>
        <v>14</v>
      </c>
      <c r="J4" s="95">
        <f>+Template!J4</f>
        <v>15</v>
      </c>
      <c r="K4" s="95">
        <f>+Template!K4</f>
        <v>16</v>
      </c>
      <c r="L4" s="95">
        <f>+Template!L4</f>
        <v>17</v>
      </c>
      <c r="M4" s="95">
        <v>18</v>
      </c>
      <c r="N4" s="95">
        <v>19</v>
      </c>
      <c r="O4" s="95">
        <f>+Template!O4</f>
        <v>20</v>
      </c>
      <c r="P4" s="95">
        <f>+Template!P4</f>
        <v>21</v>
      </c>
      <c r="Q4" s="95">
        <v>22</v>
      </c>
      <c r="R4" s="95">
        <f>+Template!R4</f>
        <v>30</v>
      </c>
      <c r="S4" s="95">
        <f>+Template!S4</f>
        <v>31</v>
      </c>
      <c r="T4" s="95">
        <f>+Template!T4</f>
        <v>32</v>
      </c>
      <c r="U4" s="95">
        <f>+Template!U4</f>
        <v>33</v>
      </c>
      <c r="V4" s="95">
        <f>+Template!V4</f>
        <v>34</v>
      </c>
      <c r="W4" s="95">
        <f>+Template!W4</f>
        <v>40</v>
      </c>
      <c r="X4" s="95" t="str">
        <f>+Template!X4</f>
        <v>W01</v>
      </c>
      <c r="Y4" s="95" t="str">
        <f>+Template!Y4</f>
        <v>W02</v>
      </c>
      <c r="Z4" s="95" t="str">
        <f>+Template!Z4</f>
        <v>W03</v>
      </c>
      <c r="AA4" s="95" t="str">
        <f>+Template!AA4</f>
        <v>W04</v>
      </c>
      <c r="AB4" s="95" t="str">
        <f>+Template!AB4</f>
        <v>M01</v>
      </c>
      <c r="AC4" s="95" t="str">
        <f>+Template!AC4</f>
        <v>M02</v>
      </c>
      <c r="AD4" s="95" t="str">
        <f>+Template!AD4</f>
        <v>M03</v>
      </c>
      <c r="AE4" s="95" t="str">
        <f>+Template!AE4</f>
        <v>M04</v>
      </c>
      <c r="AF4" s="95" t="str">
        <f>+Template!AF4</f>
        <v>Q01</v>
      </c>
      <c r="AG4" s="95" t="str">
        <f>+Template!AG4</f>
        <v>Q02</v>
      </c>
      <c r="AH4" s="98"/>
      <c r="AI4" s="94">
        <f>+Template!D4</f>
        <v>1</v>
      </c>
      <c r="AJ4" s="95">
        <f>+Template!E4</f>
        <v>10</v>
      </c>
      <c r="AK4" s="95">
        <f>+Template!F4</f>
        <v>11</v>
      </c>
      <c r="AL4" s="95">
        <f>+Template!G4</f>
        <v>12</v>
      </c>
      <c r="AM4" s="95">
        <f>+Template!H4</f>
        <v>13</v>
      </c>
      <c r="AN4" s="95">
        <f>+Template!I4</f>
        <v>14</v>
      </c>
      <c r="AO4" s="95">
        <f>+Template!J4</f>
        <v>15</v>
      </c>
      <c r="AP4" s="95">
        <f>+Template!K4</f>
        <v>16</v>
      </c>
      <c r="AQ4" s="95">
        <f>+Template!L4</f>
        <v>17</v>
      </c>
      <c r="AR4" s="95">
        <v>18</v>
      </c>
      <c r="AS4" s="95">
        <v>19</v>
      </c>
      <c r="AT4" s="95">
        <f>+Template!O4</f>
        <v>20</v>
      </c>
      <c r="AU4" s="95">
        <f>+Template!P4</f>
        <v>21</v>
      </c>
      <c r="AV4" s="95">
        <v>22</v>
      </c>
      <c r="AW4" s="95">
        <f>+Template!R4</f>
        <v>30</v>
      </c>
      <c r="AX4" s="95">
        <f>+Template!S4</f>
        <v>31</v>
      </c>
      <c r="AY4" s="95">
        <f>+Template!T4</f>
        <v>32</v>
      </c>
      <c r="AZ4" s="95">
        <f>+Template!U4</f>
        <v>33</v>
      </c>
      <c r="BA4" s="95">
        <f>+Template!V4</f>
        <v>34</v>
      </c>
      <c r="BB4" s="95">
        <f>+Template!W4</f>
        <v>40</v>
      </c>
      <c r="BC4" s="95" t="str">
        <f>+Template!X4</f>
        <v>W01</v>
      </c>
      <c r="BD4" s="95" t="str">
        <f>+Template!Y4</f>
        <v>W02</v>
      </c>
      <c r="BE4" s="95" t="str">
        <f>+Template!Z4</f>
        <v>W03</v>
      </c>
      <c r="BF4" s="95" t="str">
        <f>+Template!AA4</f>
        <v>W04</v>
      </c>
      <c r="BG4" s="95" t="str">
        <f>+Template!AB4</f>
        <v>M01</v>
      </c>
      <c r="BH4" s="95" t="str">
        <f>+Template!AC4</f>
        <v>M02</v>
      </c>
      <c r="BI4" s="95" t="str">
        <f>+Template!AD4</f>
        <v>M03</v>
      </c>
      <c r="BJ4" s="95" t="str">
        <f>+Template!AE4</f>
        <v>M04</v>
      </c>
      <c r="BK4" s="95" t="str">
        <f>+Template!AF4</f>
        <v>Q01</v>
      </c>
      <c r="BL4" s="95" t="str">
        <f>+Template!AG4</f>
        <v>Q02</v>
      </c>
      <c r="BM4" s="98"/>
      <c r="BN4" s="94">
        <f>+Template!D4</f>
        <v>1</v>
      </c>
      <c r="BO4" s="95">
        <f>+Template!E4</f>
        <v>10</v>
      </c>
      <c r="BP4" s="95">
        <f>+Template!F4</f>
        <v>11</v>
      </c>
      <c r="BQ4" s="95">
        <f>+Template!G4</f>
        <v>12</v>
      </c>
      <c r="BR4" s="95">
        <f>+Template!H4</f>
        <v>13</v>
      </c>
      <c r="BS4" s="95">
        <f>+Template!I4</f>
        <v>14</v>
      </c>
      <c r="BT4" s="95">
        <f>+Template!J4</f>
        <v>15</v>
      </c>
      <c r="BU4" s="95">
        <f>+Template!K4</f>
        <v>16</v>
      </c>
      <c r="BV4" s="95">
        <f>+Template!L4</f>
        <v>17</v>
      </c>
      <c r="BW4" s="95">
        <v>18</v>
      </c>
      <c r="BX4" s="95">
        <v>19</v>
      </c>
      <c r="BY4" s="95">
        <f>+Template!O4</f>
        <v>20</v>
      </c>
      <c r="BZ4" s="95">
        <f>+Template!P4</f>
        <v>21</v>
      </c>
      <c r="CA4" s="95">
        <v>22</v>
      </c>
      <c r="CB4" s="95">
        <f>+Template!R4</f>
        <v>30</v>
      </c>
      <c r="CC4" s="95">
        <f>+Template!S4</f>
        <v>31</v>
      </c>
      <c r="CD4" s="95">
        <f>+Template!T4</f>
        <v>32</v>
      </c>
      <c r="CE4" s="95">
        <f>+Template!U4</f>
        <v>33</v>
      </c>
      <c r="CF4" s="95">
        <f>+Template!V4</f>
        <v>34</v>
      </c>
      <c r="CG4" s="95">
        <f>+Template!W4</f>
        <v>40</v>
      </c>
      <c r="CH4" s="95" t="str">
        <f>+Template!X4</f>
        <v>W01</v>
      </c>
      <c r="CI4" s="95" t="str">
        <f>+Template!Y4</f>
        <v>W02</v>
      </c>
      <c r="CJ4" s="95" t="str">
        <f>+Template!Z4</f>
        <v>W03</v>
      </c>
      <c r="CK4" s="95" t="str">
        <f>+Template!AA4</f>
        <v>W04</v>
      </c>
      <c r="CL4" s="95" t="str">
        <f>+Template!AB4</f>
        <v>M01</v>
      </c>
      <c r="CM4" s="95" t="str">
        <f>+Template!AC4</f>
        <v>M02</v>
      </c>
      <c r="CN4" s="95" t="str">
        <f>+Template!AD4</f>
        <v>M03</v>
      </c>
      <c r="CO4" s="95" t="str">
        <f>+Template!AE4</f>
        <v>M04</v>
      </c>
      <c r="CP4" s="95" t="str">
        <f>+Template!AF4</f>
        <v>Q01</v>
      </c>
      <c r="CQ4" s="95" t="str">
        <f>+Template!AG4</f>
        <v>Q02</v>
      </c>
      <c r="CR4" s="98"/>
      <c r="CS4" s="94">
        <f>+Template!D4</f>
        <v>1</v>
      </c>
      <c r="CT4" s="95">
        <f>+Template!E4</f>
        <v>10</v>
      </c>
      <c r="CU4" s="95">
        <f>+Template!F4</f>
        <v>11</v>
      </c>
      <c r="CV4" s="95">
        <f>+Template!G4</f>
        <v>12</v>
      </c>
      <c r="CW4" s="95">
        <f>+Template!H4</f>
        <v>13</v>
      </c>
      <c r="CX4" s="95">
        <f>+Template!I4</f>
        <v>14</v>
      </c>
      <c r="CY4" s="95">
        <f>+Template!J4</f>
        <v>15</v>
      </c>
      <c r="CZ4" s="95">
        <f>+Template!K4</f>
        <v>16</v>
      </c>
      <c r="DA4" s="95">
        <f>+Template!L4</f>
        <v>17</v>
      </c>
      <c r="DB4" s="95">
        <v>18</v>
      </c>
      <c r="DC4" s="95">
        <v>19</v>
      </c>
      <c r="DD4" s="95">
        <f>+Template!O4</f>
        <v>20</v>
      </c>
      <c r="DE4" s="95">
        <f>+Template!P4</f>
        <v>21</v>
      </c>
      <c r="DF4" s="95">
        <v>22</v>
      </c>
      <c r="DG4" s="95">
        <f>+Template!R4</f>
        <v>30</v>
      </c>
      <c r="DH4" s="95">
        <f>+Template!S4</f>
        <v>31</v>
      </c>
      <c r="DI4" s="95">
        <f>+Template!T4</f>
        <v>32</v>
      </c>
      <c r="DJ4" s="95">
        <f>+Template!U4</f>
        <v>33</v>
      </c>
      <c r="DK4" s="95">
        <f>+Template!V4</f>
        <v>34</v>
      </c>
      <c r="DL4" s="95">
        <f>+Template!W4</f>
        <v>40</v>
      </c>
      <c r="DM4" s="95" t="str">
        <f>+Template!X4</f>
        <v>W01</v>
      </c>
      <c r="DN4" s="95" t="str">
        <f>+Template!Y4</f>
        <v>W02</v>
      </c>
      <c r="DO4" s="95" t="str">
        <f>+Template!Z4</f>
        <v>W03</v>
      </c>
      <c r="DP4" s="95" t="str">
        <f>+Template!AA4</f>
        <v>W04</v>
      </c>
      <c r="DQ4" s="95" t="str">
        <f>+Template!AB4</f>
        <v>M01</v>
      </c>
      <c r="DR4" s="95" t="str">
        <f>+Template!AC4</f>
        <v>M02</v>
      </c>
      <c r="DS4" s="95" t="str">
        <f>+Template!AD4</f>
        <v>M03</v>
      </c>
      <c r="DT4" s="95" t="str">
        <f>+Template!AE4</f>
        <v>M04</v>
      </c>
      <c r="DU4" s="95" t="str">
        <f>+Template!AF4</f>
        <v>Q01</v>
      </c>
      <c r="DV4" s="95" t="str">
        <f>+Template!AG4</f>
        <v>Q02</v>
      </c>
      <c r="DW4" s="98"/>
      <c r="DX4" s="125"/>
      <c r="DY4" s="126"/>
      <c r="DZ4" s="126"/>
      <c r="EA4" s="126"/>
    </row>
    <row r="5" spans="1:141" x14ac:dyDescent="0.4">
      <c r="A5" s="74">
        <f>WEEKDAY(C5)</f>
        <v>3</v>
      </c>
      <c r="B5" s="74">
        <v>1</v>
      </c>
      <c r="C5" s="127">
        <f>DATE(Jaartal,December!$B$3,December!$B5)</f>
        <v>44166</v>
      </c>
      <c r="D5" s="100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2"/>
      <c r="AI5" s="100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2"/>
      <c r="BN5" s="100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2"/>
      <c r="CS5" s="100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3"/>
      <c r="DJ5" s="103"/>
      <c r="DK5" s="103"/>
      <c r="DL5" s="103"/>
      <c r="DM5" s="103"/>
      <c r="DN5" s="103"/>
      <c r="DO5" s="103"/>
      <c r="DP5" s="103"/>
      <c r="DQ5" s="103"/>
      <c r="DR5" s="103"/>
      <c r="DS5" s="103"/>
      <c r="DT5" s="103"/>
      <c r="DU5" s="103"/>
      <c r="DV5" s="103"/>
      <c r="DW5" s="102"/>
      <c r="DX5" s="128"/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</row>
    <row r="6" spans="1:141" x14ac:dyDescent="0.4">
      <c r="A6" s="74">
        <f t="shared" ref="A6:A35" si="0">WEEKDAY(C6)</f>
        <v>4</v>
      </c>
      <c r="B6" s="74">
        <v>2</v>
      </c>
      <c r="C6" s="127">
        <f>DATE(Jaartal,December!$B$3,December!$B6)</f>
        <v>44167</v>
      </c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6"/>
      <c r="AI6" s="104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6"/>
      <c r="BN6" s="104"/>
      <c r="BO6" s="105"/>
      <c r="BP6" s="105"/>
      <c r="BQ6" s="105"/>
      <c r="BR6" s="105"/>
      <c r="BS6" s="105"/>
      <c r="BT6" s="105"/>
      <c r="BU6" s="105"/>
      <c r="BV6" s="105"/>
      <c r="BW6" s="105"/>
      <c r="BX6" s="105"/>
      <c r="BY6" s="105"/>
      <c r="BZ6" s="105"/>
      <c r="CA6" s="105"/>
      <c r="CB6" s="105"/>
      <c r="CC6" s="105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6"/>
      <c r="CS6" s="104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105"/>
      <c r="DF6" s="105"/>
      <c r="DG6" s="105"/>
      <c r="DH6" s="105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6"/>
      <c r="DX6" s="128"/>
      <c r="DY6" s="128"/>
      <c r="DZ6" s="128"/>
      <c r="EA6" s="128"/>
      <c r="EB6" s="128"/>
      <c r="EC6" s="128"/>
      <c r="ED6" s="128"/>
      <c r="EE6" s="128"/>
      <c r="EF6" s="128"/>
      <c r="EG6" s="128"/>
      <c r="EH6" s="128"/>
      <c r="EI6" s="128"/>
      <c r="EJ6" s="128"/>
      <c r="EK6" s="128"/>
    </row>
    <row r="7" spans="1:141" x14ac:dyDescent="0.4">
      <c r="A7" s="74">
        <f t="shared" si="0"/>
        <v>5</v>
      </c>
      <c r="B7" s="74">
        <v>3</v>
      </c>
      <c r="C7" s="127">
        <f>DATE(Jaartal,December!$B$3,December!$B7)</f>
        <v>44168</v>
      </c>
      <c r="D7" s="104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6"/>
      <c r="AI7" s="104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6"/>
      <c r="BN7" s="104"/>
      <c r="BO7" s="105"/>
      <c r="BP7" s="105"/>
      <c r="BQ7" s="105"/>
      <c r="BR7" s="105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6"/>
      <c r="CS7" s="104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5"/>
      <c r="DE7" s="105"/>
      <c r="DF7" s="105"/>
      <c r="DG7" s="105"/>
      <c r="DH7" s="105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6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</row>
    <row r="8" spans="1:141" x14ac:dyDescent="0.4">
      <c r="A8" s="74">
        <f t="shared" si="0"/>
        <v>6</v>
      </c>
      <c r="B8" s="74">
        <v>4</v>
      </c>
      <c r="C8" s="127">
        <f>DATE(Jaartal,December!$B$3,December!$B8)</f>
        <v>44169</v>
      </c>
      <c r="D8" s="104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6"/>
      <c r="AI8" s="104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6"/>
      <c r="BN8" s="104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6"/>
      <c r="CS8" s="104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/>
      <c r="DT8" s="107"/>
      <c r="DU8" s="107"/>
      <c r="DV8" s="107"/>
      <c r="DW8" s="106"/>
      <c r="DX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</row>
    <row r="9" spans="1:141" x14ac:dyDescent="0.4">
      <c r="A9" s="74">
        <f t="shared" si="0"/>
        <v>7</v>
      </c>
      <c r="B9" s="74">
        <v>5</v>
      </c>
      <c r="C9" s="127">
        <f>DATE(Jaartal,December!$B$3,December!$B9)</f>
        <v>44170</v>
      </c>
      <c r="D9" s="104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6"/>
      <c r="AI9" s="104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6"/>
      <c r="BN9" s="104"/>
      <c r="BO9" s="105"/>
      <c r="BP9" s="105"/>
      <c r="BQ9" s="105"/>
      <c r="BR9" s="105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6"/>
      <c r="CS9" s="104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5"/>
      <c r="DH9" s="105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6"/>
      <c r="DX9" s="128"/>
      <c r="DY9" s="128"/>
      <c r="DZ9" s="128"/>
      <c r="EA9" s="128"/>
      <c r="EB9" s="128"/>
      <c r="EC9" s="128"/>
      <c r="ED9" s="128"/>
      <c r="EE9" s="128"/>
      <c r="EF9" s="128"/>
      <c r="EG9" s="128"/>
      <c r="EH9" s="128"/>
      <c r="EI9" s="128"/>
      <c r="EJ9" s="128"/>
      <c r="EK9" s="128"/>
    </row>
    <row r="10" spans="1:141" x14ac:dyDescent="0.4">
      <c r="A10" s="74">
        <f t="shared" si="0"/>
        <v>1</v>
      </c>
      <c r="B10" s="74">
        <v>6</v>
      </c>
      <c r="C10" s="127">
        <f>DATE(Jaartal,December!$B$3,December!$B10)</f>
        <v>44171</v>
      </c>
      <c r="D10" s="104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6"/>
      <c r="AI10" s="104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6"/>
      <c r="BN10" s="104"/>
      <c r="BO10" s="105"/>
      <c r="BP10" s="105"/>
      <c r="BQ10" s="105"/>
      <c r="BR10" s="105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6"/>
      <c r="CS10" s="104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5"/>
      <c r="DH10" s="105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6"/>
      <c r="DX10" s="128"/>
      <c r="DY10" s="128"/>
      <c r="DZ10" s="128"/>
      <c r="EA10" s="128"/>
      <c r="EB10" s="128"/>
      <c r="EC10" s="128"/>
      <c r="ED10" s="128"/>
      <c r="EE10" s="128"/>
      <c r="EF10" s="128"/>
      <c r="EG10" s="128"/>
      <c r="EH10" s="128"/>
      <c r="EI10" s="128"/>
      <c r="EJ10" s="128"/>
      <c r="EK10" s="128"/>
    </row>
    <row r="11" spans="1:141" x14ac:dyDescent="0.4">
      <c r="A11" s="74">
        <f t="shared" si="0"/>
        <v>2</v>
      </c>
      <c r="B11" s="74">
        <v>7</v>
      </c>
      <c r="C11" s="127">
        <f>DATE(Jaartal,December!$B$3,December!$B11)</f>
        <v>44172</v>
      </c>
      <c r="D11" s="104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6"/>
      <c r="AI11" s="104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6"/>
      <c r="BN11" s="104"/>
      <c r="BO11" s="105"/>
      <c r="BP11" s="105"/>
      <c r="BQ11" s="105"/>
      <c r="BR11" s="105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6"/>
      <c r="CS11" s="104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5"/>
      <c r="DH11" s="105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6"/>
      <c r="DX11" s="128"/>
      <c r="DY11" s="128"/>
      <c r="DZ11" s="128"/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</row>
    <row r="12" spans="1:141" x14ac:dyDescent="0.4">
      <c r="A12" s="74">
        <f t="shared" si="0"/>
        <v>3</v>
      </c>
      <c r="B12" s="74">
        <v>8</v>
      </c>
      <c r="C12" s="127">
        <f>DATE(Jaartal,December!$B$3,December!$B12)</f>
        <v>44173</v>
      </c>
      <c r="D12" s="104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6"/>
      <c r="AI12" s="104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6"/>
      <c r="BN12" s="104"/>
      <c r="BO12" s="105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6"/>
      <c r="CS12" s="104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5"/>
      <c r="DH12" s="105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6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</row>
    <row r="13" spans="1:141" x14ac:dyDescent="0.4">
      <c r="A13" s="74">
        <f t="shared" si="0"/>
        <v>4</v>
      </c>
      <c r="B13" s="74">
        <v>9</v>
      </c>
      <c r="C13" s="127">
        <f>DATE(Jaartal,December!$B$3,December!$B13)</f>
        <v>44174</v>
      </c>
      <c r="D13" s="104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6"/>
      <c r="AI13" s="104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6"/>
      <c r="BN13" s="104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6"/>
      <c r="CS13" s="104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5"/>
      <c r="DH13" s="105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6"/>
      <c r="DX13" s="128"/>
      <c r="DY13" s="128"/>
      <c r="DZ13" s="128"/>
      <c r="EA13" s="128"/>
      <c r="EB13" s="128"/>
      <c r="EC13" s="128"/>
      <c r="ED13" s="128"/>
      <c r="EE13" s="128"/>
      <c r="EF13" s="128"/>
      <c r="EG13" s="128"/>
      <c r="EH13" s="128"/>
      <c r="EI13" s="128"/>
      <c r="EJ13" s="128"/>
      <c r="EK13" s="128"/>
    </row>
    <row r="14" spans="1:141" x14ac:dyDescent="0.4">
      <c r="A14" s="74">
        <f t="shared" si="0"/>
        <v>5</v>
      </c>
      <c r="B14" s="74">
        <v>10</v>
      </c>
      <c r="C14" s="127">
        <f>DATE(Jaartal,December!$B$3,December!$B14)</f>
        <v>44175</v>
      </c>
      <c r="D14" s="104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6"/>
      <c r="AI14" s="104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6"/>
      <c r="BN14" s="104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6"/>
      <c r="CS14" s="104"/>
      <c r="CT14" s="105"/>
      <c r="CU14" s="105"/>
      <c r="CV14" s="105"/>
      <c r="CW14" s="105"/>
      <c r="CX14" s="105"/>
      <c r="CY14" s="105"/>
      <c r="CZ14" s="105"/>
      <c r="DA14" s="105"/>
      <c r="DB14" s="105"/>
      <c r="DC14" s="105"/>
      <c r="DD14" s="105"/>
      <c r="DE14" s="105"/>
      <c r="DF14" s="105"/>
      <c r="DG14" s="105"/>
      <c r="DH14" s="105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6"/>
      <c r="DX14" s="128"/>
      <c r="DY14" s="128"/>
      <c r="DZ14" s="128"/>
      <c r="EA14" s="128"/>
      <c r="EB14" s="128"/>
      <c r="EC14" s="128"/>
      <c r="ED14" s="128"/>
      <c r="EE14" s="128"/>
      <c r="EF14" s="128"/>
      <c r="EG14" s="128"/>
      <c r="EH14" s="128"/>
      <c r="EI14" s="128"/>
      <c r="EJ14" s="128"/>
      <c r="EK14" s="128"/>
    </row>
    <row r="15" spans="1:141" x14ac:dyDescent="0.4">
      <c r="A15" s="74">
        <f t="shared" si="0"/>
        <v>6</v>
      </c>
      <c r="B15" s="74">
        <v>11</v>
      </c>
      <c r="C15" s="127">
        <f>DATE(Jaartal,December!$B$3,December!$B15)</f>
        <v>44176</v>
      </c>
      <c r="D15" s="104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6"/>
      <c r="AI15" s="104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6"/>
      <c r="BN15" s="104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6"/>
      <c r="CS15" s="104"/>
      <c r="CT15" s="105"/>
      <c r="CU15" s="105"/>
      <c r="CV15" s="105"/>
      <c r="CW15" s="105"/>
      <c r="CX15" s="105"/>
      <c r="CY15" s="105"/>
      <c r="CZ15" s="105"/>
      <c r="DA15" s="105"/>
      <c r="DB15" s="105"/>
      <c r="DC15" s="105"/>
      <c r="DD15" s="105"/>
      <c r="DE15" s="105"/>
      <c r="DF15" s="105"/>
      <c r="DG15" s="105"/>
      <c r="DH15" s="105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6"/>
      <c r="DX15" s="128"/>
      <c r="DY15" s="128"/>
      <c r="DZ15" s="128"/>
      <c r="EA15" s="128"/>
      <c r="EB15" s="128"/>
      <c r="EC15" s="128"/>
      <c r="ED15" s="128"/>
      <c r="EE15" s="128"/>
      <c r="EF15" s="128"/>
      <c r="EG15" s="128"/>
      <c r="EH15" s="128"/>
      <c r="EI15" s="128"/>
      <c r="EJ15" s="128"/>
      <c r="EK15" s="128"/>
    </row>
    <row r="16" spans="1:141" x14ac:dyDescent="0.4">
      <c r="A16" s="74">
        <f t="shared" si="0"/>
        <v>7</v>
      </c>
      <c r="B16" s="74">
        <v>12</v>
      </c>
      <c r="C16" s="127">
        <f>DATE(Jaartal,December!$B$3,December!$B16)</f>
        <v>44177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6"/>
      <c r="AI16" s="104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6"/>
      <c r="BN16" s="104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6"/>
      <c r="DX16" s="128"/>
      <c r="DY16" s="128"/>
      <c r="DZ16" s="128"/>
      <c r="EA16" s="128"/>
      <c r="EB16" s="128"/>
      <c r="EC16" s="128"/>
      <c r="ED16" s="128"/>
      <c r="EE16" s="128"/>
      <c r="EF16" s="128"/>
      <c r="EG16" s="128"/>
      <c r="EH16" s="128"/>
      <c r="EI16" s="128"/>
      <c r="EJ16" s="128"/>
      <c r="EK16" s="128"/>
    </row>
    <row r="17" spans="1:141" x14ac:dyDescent="0.4">
      <c r="A17" s="74">
        <f t="shared" si="0"/>
        <v>1</v>
      </c>
      <c r="B17" s="74">
        <v>13</v>
      </c>
      <c r="C17" s="127">
        <f>DATE(Jaartal,December!$B$3,December!$B17)</f>
        <v>44178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6"/>
      <c r="AI17" s="104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6"/>
      <c r="BN17" s="104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6"/>
      <c r="CS17" s="104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6"/>
      <c r="DX17" s="128"/>
      <c r="DY17" s="128"/>
      <c r="DZ17" s="128"/>
      <c r="EA17" s="128"/>
      <c r="EB17" s="128"/>
      <c r="EC17" s="128"/>
      <c r="ED17" s="128"/>
      <c r="EE17" s="128"/>
      <c r="EF17" s="128"/>
      <c r="EG17" s="128"/>
      <c r="EH17" s="128"/>
      <c r="EI17" s="128"/>
      <c r="EJ17" s="128"/>
      <c r="EK17" s="128"/>
    </row>
    <row r="18" spans="1:141" x14ac:dyDescent="0.4">
      <c r="A18" s="74">
        <f t="shared" si="0"/>
        <v>2</v>
      </c>
      <c r="B18" s="74">
        <v>14</v>
      </c>
      <c r="C18" s="127">
        <f>DATE(Jaartal,December!$B$3,December!$B18)</f>
        <v>44179</v>
      </c>
      <c r="D18" s="104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6"/>
      <c r="AI18" s="104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6"/>
      <c r="BN18" s="104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6"/>
      <c r="CS18" s="104"/>
      <c r="CT18" s="105"/>
      <c r="CU18" s="105"/>
      <c r="CV18" s="105"/>
      <c r="CW18" s="105"/>
      <c r="CX18" s="105"/>
      <c r="CY18" s="105"/>
      <c r="CZ18" s="105"/>
      <c r="DA18" s="105"/>
      <c r="DB18" s="105"/>
      <c r="DC18" s="105"/>
      <c r="DD18" s="105"/>
      <c r="DE18" s="105"/>
      <c r="DF18" s="105"/>
      <c r="DG18" s="105"/>
      <c r="DH18" s="105"/>
      <c r="DI18" s="107"/>
      <c r="DJ18" s="107"/>
      <c r="DK18" s="107"/>
      <c r="DL18" s="107"/>
      <c r="DM18" s="107"/>
      <c r="DN18" s="107"/>
      <c r="DO18" s="107"/>
      <c r="DP18" s="107"/>
      <c r="DQ18" s="107"/>
      <c r="DR18" s="107"/>
      <c r="DS18" s="107"/>
      <c r="DT18" s="107"/>
      <c r="DU18" s="107"/>
      <c r="DV18" s="107"/>
      <c r="DW18" s="106"/>
      <c r="DX18" s="128"/>
      <c r="DY18" s="128"/>
      <c r="DZ18" s="128"/>
      <c r="EA18" s="128"/>
      <c r="EB18" s="128"/>
      <c r="EC18" s="128"/>
      <c r="ED18" s="128"/>
      <c r="EE18" s="128"/>
      <c r="EF18" s="128"/>
      <c r="EG18" s="128"/>
      <c r="EH18" s="128"/>
      <c r="EI18" s="128"/>
      <c r="EJ18" s="128"/>
      <c r="EK18" s="128"/>
    </row>
    <row r="19" spans="1:141" x14ac:dyDescent="0.4">
      <c r="A19" s="74">
        <f t="shared" si="0"/>
        <v>3</v>
      </c>
      <c r="B19" s="74">
        <v>15</v>
      </c>
      <c r="C19" s="127">
        <f>DATE(Jaartal,December!$B$3,December!$B19)</f>
        <v>44180</v>
      </c>
      <c r="D19" s="104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6"/>
      <c r="AI19" s="104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6"/>
      <c r="BN19" s="104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6"/>
      <c r="CS19" s="104"/>
      <c r="CT19" s="105"/>
      <c r="CU19" s="105"/>
      <c r="CV19" s="105"/>
      <c r="CW19" s="105"/>
      <c r="CX19" s="105"/>
      <c r="CY19" s="105"/>
      <c r="CZ19" s="105"/>
      <c r="DA19" s="105"/>
      <c r="DB19" s="105"/>
      <c r="DC19" s="105"/>
      <c r="DD19" s="105"/>
      <c r="DE19" s="105"/>
      <c r="DF19" s="105"/>
      <c r="DG19" s="105"/>
      <c r="DH19" s="105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6"/>
      <c r="DX19" s="128"/>
      <c r="DY19" s="128"/>
      <c r="DZ19" s="128"/>
      <c r="EA19" s="128"/>
      <c r="EB19" s="128"/>
      <c r="EC19" s="128"/>
      <c r="ED19" s="128"/>
      <c r="EE19" s="128"/>
      <c r="EF19" s="128"/>
      <c r="EG19" s="128"/>
      <c r="EH19" s="128"/>
      <c r="EI19" s="128"/>
      <c r="EJ19" s="128"/>
      <c r="EK19" s="128"/>
    </row>
    <row r="20" spans="1:141" x14ac:dyDescent="0.4">
      <c r="A20" s="74">
        <f t="shared" si="0"/>
        <v>4</v>
      </c>
      <c r="B20" s="74">
        <v>16</v>
      </c>
      <c r="C20" s="127">
        <f>DATE(Jaartal,December!$B$3,December!$B20)</f>
        <v>44181</v>
      </c>
      <c r="D20" s="104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6"/>
      <c r="AI20" s="104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6"/>
      <c r="BN20" s="104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6"/>
      <c r="CS20" s="104"/>
      <c r="CT20" s="105"/>
      <c r="CU20" s="105"/>
      <c r="CV20" s="105"/>
      <c r="CW20" s="105"/>
      <c r="CX20" s="105"/>
      <c r="CY20" s="105"/>
      <c r="CZ20" s="105"/>
      <c r="DA20" s="105"/>
      <c r="DB20" s="105"/>
      <c r="DC20" s="105"/>
      <c r="DD20" s="105"/>
      <c r="DE20" s="105"/>
      <c r="DF20" s="105"/>
      <c r="DG20" s="105"/>
      <c r="DH20" s="105"/>
      <c r="DI20" s="107"/>
      <c r="DJ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U20" s="107"/>
      <c r="DV20" s="107"/>
      <c r="DW20" s="106"/>
      <c r="DX20" s="128"/>
      <c r="DY20" s="128"/>
      <c r="DZ20" s="128"/>
      <c r="EA20" s="128"/>
      <c r="EB20" s="128"/>
      <c r="EC20" s="128"/>
      <c r="ED20" s="128"/>
      <c r="EE20" s="128"/>
      <c r="EF20" s="128"/>
      <c r="EG20" s="128"/>
      <c r="EH20" s="128"/>
      <c r="EI20" s="128"/>
      <c r="EJ20" s="128"/>
      <c r="EK20" s="128"/>
    </row>
    <row r="21" spans="1:141" x14ac:dyDescent="0.4">
      <c r="A21" s="74">
        <f t="shared" si="0"/>
        <v>5</v>
      </c>
      <c r="B21" s="74">
        <v>17</v>
      </c>
      <c r="C21" s="127">
        <f>DATE(Jaartal,December!$B$3,December!$B21)</f>
        <v>44182</v>
      </c>
      <c r="D21" s="104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6"/>
      <c r="AI21" s="104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6"/>
      <c r="BN21" s="104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6"/>
      <c r="CS21" s="104"/>
      <c r="CT21" s="105"/>
      <c r="CU21" s="105"/>
      <c r="CV21" s="105"/>
      <c r="CW21" s="105"/>
      <c r="CX21" s="105"/>
      <c r="CY21" s="105"/>
      <c r="CZ21" s="105"/>
      <c r="DA21" s="105"/>
      <c r="DB21" s="105"/>
      <c r="DC21" s="105"/>
      <c r="DD21" s="105"/>
      <c r="DE21" s="105"/>
      <c r="DF21" s="105"/>
      <c r="DG21" s="105"/>
      <c r="DH21" s="105"/>
      <c r="DI21" s="107"/>
      <c r="DJ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U21" s="107"/>
      <c r="DV21" s="107"/>
      <c r="DW21" s="106"/>
      <c r="DX21" s="128"/>
      <c r="DY21" s="128"/>
      <c r="DZ21" s="128"/>
      <c r="EA21" s="128"/>
      <c r="EB21" s="128"/>
      <c r="EC21" s="128"/>
      <c r="ED21" s="128"/>
      <c r="EE21" s="128"/>
      <c r="EF21" s="128"/>
      <c r="EG21" s="128"/>
      <c r="EH21" s="128"/>
      <c r="EI21" s="128"/>
      <c r="EJ21" s="128"/>
      <c r="EK21" s="128"/>
    </row>
    <row r="22" spans="1:141" x14ac:dyDescent="0.4">
      <c r="A22" s="74">
        <f t="shared" si="0"/>
        <v>6</v>
      </c>
      <c r="B22" s="74">
        <v>18</v>
      </c>
      <c r="C22" s="127">
        <f>DATE(Jaartal,December!$B$3,December!$B22)</f>
        <v>44183</v>
      </c>
      <c r="D22" s="104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6"/>
      <c r="AI22" s="104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6"/>
      <c r="BN22" s="104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6"/>
      <c r="CS22" s="104"/>
      <c r="CT22" s="105"/>
      <c r="CU22" s="105"/>
      <c r="CV22" s="105"/>
      <c r="CW22" s="105"/>
      <c r="CX22" s="105"/>
      <c r="CY22" s="105"/>
      <c r="CZ22" s="105"/>
      <c r="DA22" s="105"/>
      <c r="DB22" s="105"/>
      <c r="DC22" s="105"/>
      <c r="DD22" s="105"/>
      <c r="DE22" s="105"/>
      <c r="DF22" s="105"/>
      <c r="DG22" s="105"/>
      <c r="DH22" s="105"/>
      <c r="DI22" s="107"/>
      <c r="DJ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U22" s="107"/>
      <c r="DV22" s="107"/>
      <c r="DW22" s="106"/>
      <c r="DX22" s="128"/>
      <c r="DY22" s="128"/>
      <c r="DZ22" s="128"/>
      <c r="EA22" s="128"/>
      <c r="EB22" s="128"/>
      <c r="EC22" s="128"/>
      <c r="ED22" s="128"/>
      <c r="EE22" s="128"/>
      <c r="EF22" s="128"/>
      <c r="EG22" s="128"/>
      <c r="EH22" s="128"/>
      <c r="EI22" s="128"/>
      <c r="EJ22" s="128"/>
      <c r="EK22" s="128"/>
    </row>
    <row r="23" spans="1:141" x14ac:dyDescent="0.4">
      <c r="A23" s="74">
        <f t="shared" si="0"/>
        <v>7</v>
      </c>
      <c r="B23" s="74">
        <v>19</v>
      </c>
      <c r="C23" s="127">
        <f>DATE(Jaartal,December!$B$3,December!$B23)</f>
        <v>44184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6"/>
      <c r="AI23" s="104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6"/>
      <c r="BN23" s="104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7"/>
      <c r="CE23" s="107"/>
      <c r="CF23" s="107"/>
      <c r="CG23" s="107"/>
      <c r="CH23" s="107"/>
      <c r="CI23" s="107"/>
      <c r="CJ23" s="107"/>
      <c r="CK23" s="107"/>
      <c r="CL23" s="107"/>
      <c r="CM23" s="107"/>
      <c r="CN23" s="107"/>
      <c r="CO23" s="107"/>
      <c r="CP23" s="107"/>
      <c r="CQ23" s="107"/>
      <c r="CR23" s="106"/>
      <c r="CS23" s="104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5"/>
      <c r="DH23" s="105"/>
      <c r="DI23" s="107"/>
      <c r="DJ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U23" s="107"/>
      <c r="DV23" s="107"/>
      <c r="DW23" s="106"/>
      <c r="DX23" s="128"/>
      <c r="DY23" s="128"/>
      <c r="DZ23" s="128"/>
      <c r="EA23" s="128"/>
      <c r="EB23" s="128"/>
      <c r="EC23" s="128"/>
      <c r="ED23" s="128"/>
      <c r="EE23" s="128"/>
      <c r="EF23" s="128"/>
      <c r="EG23" s="128"/>
      <c r="EH23" s="128"/>
      <c r="EI23" s="128"/>
      <c r="EJ23" s="128"/>
      <c r="EK23" s="128"/>
    </row>
    <row r="24" spans="1:141" x14ac:dyDescent="0.4">
      <c r="A24" s="74">
        <f t="shared" si="0"/>
        <v>1</v>
      </c>
      <c r="B24" s="74">
        <v>20</v>
      </c>
      <c r="C24" s="127">
        <f>DATE(Jaartal,December!$B$3,December!$B24)</f>
        <v>44185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6"/>
      <c r="AI24" s="104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6"/>
      <c r="BN24" s="104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6"/>
      <c r="DX24" s="128"/>
      <c r="DY24" s="128"/>
      <c r="DZ24" s="128"/>
      <c r="EA24" s="128"/>
      <c r="EB24" s="128"/>
      <c r="EC24" s="128"/>
      <c r="ED24" s="128"/>
      <c r="EE24" s="128"/>
      <c r="EF24" s="128"/>
      <c r="EG24" s="128"/>
      <c r="EH24" s="128"/>
      <c r="EI24" s="128"/>
      <c r="EJ24" s="128"/>
      <c r="EK24" s="128"/>
    </row>
    <row r="25" spans="1:141" x14ac:dyDescent="0.4">
      <c r="A25" s="74">
        <f t="shared" si="0"/>
        <v>2</v>
      </c>
      <c r="B25" s="74">
        <v>21</v>
      </c>
      <c r="C25" s="127">
        <f>DATE(Jaartal,December!$B$3,December!$B25)</f>
        <v>44186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6"/>
      <c r="AI25" s="104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6"/>
      <c r="BN25" s="104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U25" s="107"/>
      <c r="DV25" s="107"/>
      <c r="DW25" s="106"/>
      <c r="DX25" s="128"/>
      <c r="DY25" s="128"/>
      <c r="DZ25" s="128"/>
      <c r="EA25" s="128"/>
      <c r="EB25" s="128"/>
      <c r="EC25" s="128"/>
      <c r="ED25" s="128"/>
      <c r="EE25" s="128"/>
      <c r="EF25" s="128"/>
      <c r="EG25" s="128"/>
      <c r="EH25" s="128"/>
      <c r="EI25" s="128"/>
      <c r="EJ25" s="128"/>
      <c r="EK25" s="128"/>
    </row>
    <row r="26" spans="1:141" x14ac:dyDescent="0.4">
      <c r="A26" s="74">
        <f t="shared" si="0"/>
        <v>3</v>
      </c>
      <c r="B26" s="74">
        <v>22</v>
      </c>
      <c r="C26" s="127">
        <f>DATE(Jaartal,December!$B$3,December!$B26)</f>
        <v>44187</v>
      </c>
      <c r="D26" s="104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6"/>
      <c r="AI26" s="104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6"/>
      <c r="BN26" s="104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6"/>
      <c r="CS26" s="104"/>
      <c r="CT26" s="105"/>
      <c r="CU26" s="105"/>
      <c r="CV26" s="105"/>
      <c r="CW26" s="105"/>
      <c r="CX26" s="105"/>
      <c r="CY26" s="105"/>
      <c r="CZ26" s="105"/>
      <c r="DA26" s="105"/>
      <c r="DB26" s="105"/>
      <c r="DC26" s="105"/>
      <c r="DD26" s="105"/>
      <c r="DE26" s="105"/>
      <c r="DF26" s="105"/>
      <c r="DG26" s="105"/>
      <c r="DH26" s="105"/>
      <c r="DI26" s="107"/>
      <c r="DJ26" s="107"/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U26" s="107"/>
      <c r="DV26" s="107"/>
      <c r="DW26" s="106"/>
      <c r="DX26" s="128"/>
      <c r="DY26" s="128"/>
      <c r="DZ26" s="128"/>
      <c r="EA26" s="128"/>
      <c r="EB26" s="128"/>
      <c r="EC26" s="128"/>
      <c r="ED26" s="128"/>
      <c r="EE26" s="128"/>
      <c r="EF26" s="128"/>
      <c r="EG26" s="128"/>
      <c r="EH26" s="128"/>
      <c r="EI26" s="128"/>
      <c r="EJ26" s="128"/>
      <c r="EK26" s="128"/>
    </row>
    <row r="27" spans="1:141" x14ac:dyDescent="0.4">
      <c r="A27" s="74">
        <f t="shared" si="0"/>
        <v>4</v>
      </c>
      <c r="B27" s="74">
        <v>23</v>
      </c>
      <c r="C27" s="127">
        <f>DATE(Jaartal,December!$B$3,December!$B27)</f>
        <v>44188</v>
      </c>
      <c r="D27" s="104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6"/>
      <c r="AI27" s="104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6"/>
      <c r="BN27" s="104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6"/>
      <c r="CS27" s="104"/>
      <c r="CT27" s="105"/>
      <c r="CU27" s="105"/>
      <c r="CV27" s="105"/>
      <c r="CW27" s="105"/>
      <c r="CX27" s="105"/>
      <c r="CY27" s="105"/>
      <c r="CZ27" s="105"/>
      <c r="DA27" s="105"/>
      <c r="DB27" s="105"/>
      <c r="DC27" s="105"/>
      <c r="DD27" s="105"/>
      <c r="DE27" s="105"/>
      <c r="DF27" s="105"/>
      <c r="DG27" s="105"/>
      <c r="DH27" s="105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U27" s="107"/>
      <c r="DV27" s="107"/>
      <c r="DW27" s="106"/>
      <c r="DX27" s="128"/>
      <c r="DY27" s="128"/>
      <c r="DZ27" s="128"/>
      <c r="EA27" s="128"/>
      <c r="EB27" s="128"/>
      <c r="EC27" s="128"/>
      <c r="ED27" s="128"/>
      <c r="EE27" s="128"/>
      <c r="EF27" s="128"/>
      <c r="EG27" s="128"/>
      <c r="EH27" s="128"/>
      <c r="EI27" s="128"/>
      <c r="EJ27" s="128"/>
      <c r="EK27" s="128"/>
    </row>
    <row r="28" spans="1:141" x14ac:dyDescent="0.4">
      <c r="A28" s="74">
        <f t="shared" si="0"/>
        <v>5</v>
      </c>
      <c r="B28" s="74">
        <v>24</v>
      </c>
      <c r="C28" s="127">
        <f>DATE(Jaartal,December!$B$3,December!$B28)</f>
        <v>44189</v>
      </c>
      <c r="D28" s="104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6"/>
      <c r="AI28" s="104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6"/>
      <c r="BN28" s="104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6"/>
      <c r="CS28" s="104"/>
      <c r="CT28" s="105"/>
      <c r="CU28" s="105"/>
      <c r="CV28" s="105"/>
      <c r="CW28" s="105"/>
      <c r="CX28" s="105"/>
      <c r="CY28" s="105"/>
      <c r="CZ28" s="105"/>
      <c r="DA28" s="105"/>
      <c r="DB28" s="105"/>
      <c r="DC28" s="105"/>
      <c r="DD28" s="105"/>
      <c r="DE28" s="105"/>
      <c r="DF28" s="105"/>
      <c r="DG28" s="105"/>
      <c r="DH28" s="105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6"/>
      <c r="DX28" s="128"/>
      <c r="DY28" s="128"/>
      <c r="DZ28" s="128"/>
      <c r="EA28" s="128"/>
      <c r="EB28" s="128"/>
      <c r="EC28" s="128"/>
      <c r="ED28" s="128"/>
      <c r="EE28" s="128"/>
      <c r="EF28" s="128"/>
      <c r="EG28" s="128"/>
      <c r="EH28" s="128"/>
      <c r="EI28" s="128"/>
      <c r="EJ28" s="128"/>
      <c r="EK28" s="128"/>
    </row>
    <row r="29" spans="1:141" x14ac:dyDescent="0.4">
      <c r="A29" s="74">
        <f t="shared" si="0"/>
        <v>6</v>
      </c>
      <c r="B29" s="74">
        <v>25</v>
      </c>
      <c r="C29" s="127">
        <f>DATE(Jaartal,December!$B$3,December!$B29)</f>
        <v>44190</v>
      </c>
      <c r="D29" s="104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6"/>
      <c r="AI29" s="104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6"/>
      <c r="BN29" s="104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6"/>
      <c r="CS29" s="104"/>
      <c r="CT29" s="105"/>
      <c r="CU29" s="105"/>
      <c r="CV29" s="105"/>
      <c r="CW29" s="105"/>
      <c r="CX29" s="105"/>
      <c r="CY29" s="105"/>
      <c r="CZ29" s="105"/>
      <c r="DA29" s="105"/>
      <c r="DB29" s="105"/>
      <c r="DC29" s="105"/>
      <c r="DD29" s="105"/>
      <c r="DE29" s="105"/>
      <c r="DF29" s="105"/>
      <c r="DG29" s="105"/>
      <c r="DH29" s="105"/>
      <c r="DI29" s="107"/>
      <c r="DJ29" s="107"/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U29" s="107"/>
      <c r="DV29" s="107"/>
      <c r="DW29" s="106"/>
      <c r="DX29" s="128"/>
      <c r="DY29" s="128"/>
      <c r="DZ29" s="128"/>
      <c r="EA29" s="128"/>
      <c r="EB29" s="128"/>
      <c r="EC29" s="128"/>
      <c r="ED29" s="128"/>
      <c r="EE29" s="128"/>
      <c r="EF29" s="128"/>
      <c r="EG29" s="128"/>
      <c r="EH29" s="128"/>
      <c r="EI29" s="128"/>
      <c r="EJ29" s="128"/>
      <c r="EK29" s="128"/>
    </row>
    <row r="30" spans="1:141" x14ac:dyDescent="0.4">
      <c r="A30" s="74">
        <f t="shared" si="0"/>
        <v>7</v>
      </c>
      <c r="B30" s="74">
        <v>26</v>
      </c>
      <c r="C30" s="127">
        <f>DATE(Jaartal,December!$B$3,December!$B30)</f>
        <v>44191</v>
      </c>
      <c r="D30" s="104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6"/>
      <c r="AI30" s="104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6"/>
      <c r="BN30" s="104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6"/>
      <c r="CS30" s="104"/>
      <c r="CT30" s="105"/>
      <c r="CU30" s="105"/>
      <c r="CV30" s="105"/>
      <c r="CW30" s="105"/>
      <c r="CX30" s="105"/>
      <c r="CY30" s="105"/>
      <c r="CZ30" s="105"/>
      <c r="DA30" s="105"/>
      <c r="DB30" s="105"/>
      <c r="DC30" s="105"/>
      <c r="DD30" s="105"/>
      <c r="DE30" s="105"/>
      <c r="DF30" s="105"/>
      <c r="DG30" s="105"/>
      <c r="DH30" s="105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U30" s="107"/>
      <c r="DV30" s="107"/>
      <c r="DW30" s="106"/>
      <c r="DX30" s="128"/>
      <c r="DY30" s="128"/>
      <c r="DZ30" s="128"/>
      <c r="EA30" s="128"/>
      <c r="EB30" s="128"/>
      <c r="EC30" s="128"/>
      <c r="ED30" s="128"/>
      <c r="EE30" s="128"/>
      <c r="EF30" s="128"/>
      <c r="EG30" s="128"/>
      <c r="EH30" s="128"/>
      <c r="EI30" s="128"/>
      <c r="EJ30" s="128"/>
      <c r="EK30" s="128"/>
    </row>
    <row r="31" spans="1:141" x14ac:dyDescent="0.4">
      <c r="A31" s="74">
        <f t="shared" si="0"/>
        <v>1</v>
      </c>
      <c r="B31" s="74">
        <v>27</v>
      </c>
      <c r="C31" s="127">
        <f>DATE(Jaartal,December!$B$3,December!$B31)</f>
        <v>44192</v>
      </c>
      <c r="D31" s="104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6"/>
      <c r="AI31" s="104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6"/>
      <c r="BN31" s="104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6"/>
      <c r="CS31" s="104"/>
      <c r="CT31" s="105"/>
      <c r="CU31" s="105"/>
      <c r="CV31" s="105"/>
      <c r="CW31" s="105"/>
      <c r="CX31" s="105"/>
      <c r="CY31" s="105"/>
      <c r="CZ31" s="105"/>
      <c r="DA31" s="105"/>
      <c r="DB31" s="105"/>
      <c r="DC31" s="105"/>
      <c r="DD31" s="105"/>
      <c r="DE31" s="105"/>
      <c r="DF31" s="105"/>
      <c r="DG31" s="105"/>
      <c r="DH31" s="105"/>
      <c r="DI31" s="107"/>
      <c r="DJ31" s="107"/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U31" s="107"/>
      <c r="DV31" s="107"/>
      <c r="DW31" s="106"/>
      <c r="DX31" s="128"/>
      <c r="DY31" s="128"/>
      <c r="DZ31" s="128"/>
      <c r="EA31" s="128"/>
      <c r="EB31" s="128"/>
      <c r="EC31" s="128"/>
      <c r="ED31" s="128"/>
      <c r="EE31" s="128"/>
      <c r="EF31" s="128"/>
      <c r="EG31" s="128"/>
      <c r="EH31" s="128"/>
      <c r="EI31" s="128"/>
      <c r="EJ31" s="128"/>
      <c r="EK31" s="128"/>
    </row>
    <row r="32" spans="1:141" x14ac:dyDescent="0.4">
      <c r="A32" s="74">
        <f t="shared" si="0"/>
        <v>2</v>
      </c>
      <c r="B32" s="74">
        <v>28</v>
      </c>
      <c r="C32" s="127">
        <f>DATE(Jaartal,December!$B$3,December!$B32)</f>
        <v>44193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6"/>
      <c r="AI32" s="104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6"/>
      <c r="BN32" s="104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6"/>
      <c r="CS32" s="104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6"/>
      <c r="DX32" s="128"/>
      <c r="DY32" s="128"/>
      <c r="DZ32" s="128"/>
      <c r="EA32" s="128"/>
      <c r="EB32" s="128"/>
      <c r="EC32" s="128"/>
      <c r="ED32" s="128"/>
      <c r="EE32" s="128"/>
      <c r="EF32" s="128"/>
      <c r="EG32" s="128"/>
      <c r="EH32" s="128"/>
      <c r="EI32" s="128"/>
      <c r="EJ32" s="128"/>
      <c r="EK32" s="128"/>
    </row>
    <row r="33" spans="1:141" x14ac:dyDescent="0.4">
      <c r="A33" s="74">
        <f t="shared" si="0"/>
        <v>3</v>
      </c>
      <c r="B33" s="74">
        <v>29</v>
      </c>
      <c r="C33" s="127">
        <f>DATE(Jaartal,December!$B$3,December!$B33)</f>
        <v>44194</v>
      </c>
      <c r="D33" s="104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6"/>
      <c r="AI33" s="104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6"/>
      <c r="BN33" s="104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6"/>
      <c r="CS33" s="104"/>
      <c r="CT33" s="105"/>
      <c r="CU33" s="105"/>
      <c r="CV33" s="105"/>
      <c r="CW33" s="105"/>
      <c r="CX33" s="105"/>
      <c r="CY33" s="105"/>
      <c r="CZ33" s="105"/>
      <c r="DA33" s="105"/>
      <c r="DB33" s="105"/>
      <c r="DC33" s="105"/>
      <c r="DD33" s="105"/>
      <c r="DE33" s="105"/>
      <c r="DF33" s="105"/>
      <c r="DG33" s="105"/>
      <c r="DH33" s="105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6"/>
      <c r="DX33" s="128"/>
      <c r="DY33" s="128"/>
      <c r="DZ33" s="128"/>
      <c r="EA33" s="128"/>
      <c r="EB33" s="128"/>
      <c r="EC33" s="128"/>
      <c r="ED33" s="128"/>
      <c r="EE33" s="128"/>
      <c r="EF33" s="128"/>
      <c r="EG33" s="128"/>
      <c r="EH33" s="128"/>
      <c r="EI33" s="128"/>
      <c r="EJ33" s="128"/>
      <c r="EK33" s="128"/>
    </row>
    <row r="34" spans="1:141" x14ac:dyDescent="0.4">
      <c r="A34" s="74">
        <f t="shared" si="0"/>
        <v>4</v>
      </c>
      <c r="B34" s="74">
        <v>30</v>
      </c>
      <c r="C34" s="127">
        <f>DATE(Jaartal,December!$B$3,December!$B34)</f>
        <v>44195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6"/>
      <c r="AI34" s="104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6"/>
      <c r="BN34" s="104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6"/>
      <c r="CS34" s="104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5"/>
      <c r="DH34" s="105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6"/>
      <c r="DX34" s="128"/>
      <c r="DY34" s="128"/>
      <c r="DZ34" s="128"/>
      <c r="EA34" s="128"/>
      <c r="EB34" s="128"/>
      <c r="EC34" s="128"/>
      <c r="ED34" s="128"/>
      <c r="EE34" s="128"/>
      <c r="EF34" s="128"/>
      <c r="EG34" s="128"/>
      <c r="EH34" s="128"/>
      <c r="EI34" s="128"/>
      <c r="EJ34" s="128"/>
      <c r="EK34" s="128"/>
    </row>
    <row r="35" spans="1:141" x14ac:dyDescent="0.4">
      <c r="A35" s="74">
        <f t="shared" si="0"/>
        <v>5</v>
      </c>
      <c r="B35" s="74">
        <v>31</v>
      </c>
      <c r="C35" s="127">
        <f>DATE(Jaartal,December!$B$3,December!$B35)</f>
        <v>44196</v>
      </c>
      <c r="D35" s="104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6"/>
      <c r="AI35" s="104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6"/>
      <c r="BN35" s="104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6"/>
      <c r="CS35" s="108"/>
      <c r="CT35" s="105"/>
      <c r="CU35" s="105"/>
      <c r="CV35" s="105"/>
      <c r="CW35" s="105"/>
      <c r="CX35" s="105"/>
      <c r="CY35" s="105"/>
      <c r="CZ35" s="105"/>
      <c r="DA35" s="105"/>
      <c r="DB35" s="105"/>
      <c r="DC35" s="105"/>
      <c r="DD35" s="105"/>
      <c r="DE35" s="105"/>
      <c r="DF35" s="105"/>
      <c r="DG35" s="105"/>
      <c r="DH35" s="105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6"/>
      <c r="DX35" s="128"/>
      <c r="DY35" s="128"/>
      <c r="DZ35" s="128"/>
      <c r="EA35" s="128"/>
      <c r="EB35" s="128"/>
      <c r="EC35" s="128"/>
      <c r="ED35" s="128"/>
      <c r="EE35" s="128"/>
      <c r="EF35" s="128"/>
      <c r="EG35" s="128"/>
      <c r="EH35" s="128"/>
      <c r="EI35" s="128"/>
      <c r="EJ35" s="128"/>
      <c r="EK35" s="128"/>
    </row>
    <row r="36" spans="1:141" x14ac:dyDescent="0.4">
      <c r="BR36" s="128"/>
      <c r="BS36" s="128"/>
      <c r="BT36" s="128"/>
      <c r="BU36" s="128"/>
      <c r="BV36" s="128"/>
      <c r="BY36" s="128"/>
      <c r="BZ36" s="128"/>
      <c r="CB36" s="128"/>
      <c r="CC36" s="128"/>
      <c r="CD36" s="128"/>
      <c r="CE36" s="128"/>
      <c r="CF36" s="128"/>
      <c r="CG36" s="128"/>
      <c r="CH36" s="128"/>
      <c r="CI36" s="128"/>
      <c r="CJ36" s="128"/>
      <c r="CK36" s="128"/>
      <c r="CL36" s="128"/>
      <c r="CM36" s="128"/>
      <c r="CN36" s="128"/>
      <c r="CO36" s="128"/>
      <c r="CP36" s="128"/>
      <c r="CQ36" s="128"/>
      <c r="CW36" s="128"/>
      <c r="CX36" s="128"/>
      <c r="CY36" s="128"/>
      <c r="CZ36" s="128"/>
      <c r="DA36" s="128"/>
      <c r="DD36" s="128"/>
      <c r="DE36" s="128"/>
      <c r="DG36" s="128"/>
      <c r="DH36" s="128"/>
      <c r="DI36" s="128"/>
      <c r="DJ36" s="128"/>
      <c r="DK36" s="128"/>
      <c r="DL36" s="128"/>
      <c r="DM36" s="128"/>
      <c r="DN36" s="128"/>
      <c r="DO36" s="128"/>
      <c r="DP36" s="128"/>
      <c r="DQ36" s="128"/>
      <c r="DR36" s="128"/>
      <c r="DS36" s="128"/>
      <c r="DT36" s="128"/>
      <c r="DU36" s="128"/>
      <c r="DV36" s="128"/>
    </row>
    <row r="38" spans="1:141" ht="13.5" thickBot="1" x14ac:dyDescent="0.45"/>
    <row r="39" spans="1:141" ht="13.5" thickBot="1" x14ac:dyDescent="0.45">
      <c r="D39" s="109" t="s">
        <v>7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1"/>
    </row>
    <row r="40" spans="1:141" ht="13.5" thickBot="1" x14ac:dyDescent="0.45">
      <c r="D40" s="112">
        <v>1</v>
      </c>
      <c r="E40" s="113" t="s">
        <v>4</v>
      </c>
      <c r="F40" s="113"/>
      <c r="G40" s="113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5"/>
    </row>
    <row r="41" spans="1:141" ht="13.5" thickBot="1" x14ac:dyDescent="0.45">
      <c r="D41" s="116">
        <v>2</v>
      </c>
      <c r="E41" s="117" t="s">
        <v>79</v>
      </c>
      <c r="F41" s="117"/>
      <c r="G41" s="117"/>
      <c r="H41" s="117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9"/>
    </row>
    <row r="42" spans="1:141" ht="13.5" thickBot="1" x14ac:dyDescent="0.45">
      <c r="D42" s="120">
        <v>3</v>
      </c>
      <c r="E42" s="117" t="s">
        <v>66</v>
      </c>
      <c r="F42" s="117"/>
      <c r="G42" s="117"/>
      <c r="H42" s="117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9"/>
    </row>
    <row r="43" spans="1:141" ht="13.5" thickBot="1" x14ac:dyDescent="0.45">
      <c r="D43" s="121"/>
      <c r="E43" s="122" t="s">
        <v>80</v>
      </c>
      <c r="F43" s="122"/>
      <c r="G43" s="122"/>
      <c r="H43" s="12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4"/>
    </row>
    <row r="44" spans="1:141" x14ac:dyDescent="0.4">
      <c r="D44" s="129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1"/>
      <c r="AI44" s="131"/>
      <c r="AR44" s="130"/>
      <c r="AS44" s="130"/>
      <c r="AV44" s="130"/>
      <c r="BW44" s="130"/>
      <c r="BX44" s="130"/>
      <c r="CA44" s="130"/>
      <c r="DB44" s="130"/>
      <c r="DC44" s="130"/>
      <c r="DF44" s="130"/>
    </row>
    <row r="52" spans="33:34" x14ac:dyDescent="0.4">
      <c r="AG52" s="128"/>
      <c r="AH52" s="128"/>
    </row>
    <row r="53" spans="33:34" x14ac:dyDescent="0.4">
      <c r="AG53" s="128"/>
      <c r="AH53" s="128"/>
    </row>
    <row r="54" spans="33:34" x14ac:dyDescent="0.4">
      <c r="AG54" s="128"/>
      <c r="AH54" s="128"/>
    </row>
    <row r="55" spans="33:34" x14ac:dyDescent="0.4">
      <c r="AG55" s="128"/>
      <c r="AH55" s="128"/>
    </row>
    <row r="56" spans="33:34" x14ac:dyDescent="0.4">
      <c r="AG56" s="128"/>
      <c r="AH56" s="128"/>
    </row>
  </sheetData>
  <sheetProtection sheet="1" objects="1" scenarios="1" selectLockedCells="1"/>
  <mergeCells count="13">
    <mergeCell ref="D39:AI39"/>
    <mergeCell ref="E40:AI40"/>
    <mergeCell ref="E41:AI41"/>
    <mergeCell ref="E42:AI42"/>
    <mergeCell ref="E43:AI43"/>
    <mergeCell ref="D1:AH1"/>
    <mergeCell ref="AI1:BM1"/>
    <mergeCell ref="BN1:CR1"/>
    <mergeCell ref="CS1:DW1"/>
    <mergeCell ref="AH3:AH4"/>
    <mergeCell ref="BM3:BM4"/>
    <mergeCell ref="CR3:CR4"/>
    <mergeCell ref="DW3:DW4"/>
  </mergeCells>
  <conditionalFormatting sqref="D5:L35 O5:P35 AT5:AU35 BY5:BZ35 DD5:DE35 R5:AQ35 AW5:BV35 CB5:DA35 DG5:DW35">
    <cfRule type="expression" dxfId="71" priority="33" stopIfTrue="1">
      <formula>D5=3</formula>
    </cfRule>
    <cfRule type="expression" dxfId="70" priority="34" stopIfTrue="1">
      <formula>D5=2</formula>
    </cfRule>
    <cfRule type="expression" dxfId="69" priority="35" stopIfTrue="1">
      <formula>D5=1</formula>
    </cfRule>
    <cfRule type="expression" dxfId="68" priority="36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67" priority="29" stopIfTrue="1">
      <formula>M5=3</formula>
    </cfRule>
    <cfRule type="expression" dxfId="66" priority="30" stopIfTrue="1">
      <formula>M5=2</formula>
    </cfRule>
    <cfRule type="expression" dxfId="65" priority="31" stopIfTrue="1">
      <formula>M5=1</formula>
    </cfRule>
    <cfRule type="expression" dxfId="64" priority="32" stopIfTrue="1">
      <formula>IF($A5=1,1,IF($A5=7,1,IF(M$2="Q",IF($A5=2,IF($B5&lt;8,IF(MOD($B$3,3)&lt;&gt;0,1,0),1),1),IF(M$2="M",IF($A5=2,IF($B5&gt;7,1,0),1),IF(M$2="W",IF($A5=2,0,1),0)))))</formula>
    </cfRule>
  </conditionalFormatting>
  <conditionalFormatting sqref="AR5:AS35">
    <cfRule type="expression" dxfId="63" priority="25" stopIfTrue="1">
      <formula>AR5=3</formula>
    </cfRule>
    <cfRule type="expression" dxfId="62" priority="26" stopIfTrue="1">
      <formula>AR5=2</formula>
    </cfRule>
    <cfRule type="expression" dxfId="61" priority="27" stopIfTrue="1">
      <formula>AR5=1</formula>
    </cfRule>
    <cfRule type="expression" dxfId="60" priority="28" stopIfTrue="1">
      <formula>IF($A5=1,1,IF($A5=7,1,IF(AR$2="Q",IF($A5=2,IF($B5&lt;8,IF(MOD($B$3,3)&lt;&gt;0,1,0),1),1),IF(AR$2="M",IF($A5=2,IF($B5&gt;7,1,0),1),IF(AR$2="W",IF($A5=2,0,1),0)))))</formula>
    </cfRule>
  </conditionalFormatting>
  <conditionalFormatting sqref="BW5:BX35">
    <cfRule type="expression" dxfId="59" priority="21" stopIfTrue="1">
      <formula>BW5=3</formula>
    </cfRule>
    <cfRule type="expression" dxfId="58" priority="22" stopIfTrue="1">
      <formula>BW5=2</formula>
    </cfRule>
    <cfRule type="expression" dxfId="57" priority="23" stopIfTrue="1">
      <formula>BW5=1</formula>
    </cfRule>
    <cfRule type="expression" dxfId="56" priority="24" stopIfTrue="1">
      <formula>IF($A5=1,1,IF($A5=7,1,IF(BW$2="Q",IF($A5=2,IF($B5&lt;8,IF(MOD($B$3,3)&lt;&gt;0,1,0),1),1),IF(BW$2="M",IF($A5=2,IF($B5&gt;7,1,0),1),IF(BW$2="W",IF($A5=2,0,1),0)))))</formula>
    </cfRule>
  </conditionalFormatting>
  <conditionalFormatting sqref="DB5:DC35">
    <cfRule type="expression" dxfId="55" priority="17" stopIfTrue="1">
      <formula>DB5=3</formula>
    </cfRule>
    <cfRule type="expression" dxfId="54" priority="18" stopIfTrue="1">
      <formula>DB5=2</formula>
    </cfRule>
    <cfRule type="expression" dxfId="53" priority="19" stopIfTrue="1">
      <formula>DB5=1</formula>
    </cfRule>
    <cfRule type="expression" dxfId="52" priority="20" stopIfTrue="1">
      <formula>IF($A5=1,1,IF($A5=7,1,IF(DB$2="Q",IF($A5=2,IF($B5&lt;8,IF(MOD($B$3,3)&lt;&gt;0,1,0),1),1),IF(DB$2="M",IF($A5=2,IF($B5&gt;7,1,0),1),IF(DB$2="W",IF($A5=2,0,1),0)))))</formula>
    </cfRule>
  </conditionalFormatting>
  <conditionalFormatting sqref="Q5:Q35">
    <cfRule type="expression" dxfId="51" priority="13" stopIfTrue="1">
      <formula>Q5=3</formula>
    </cfRule>
    <cfRule type="expression" dxfId="50" priority="14" stopIfTrue="1">
      <formula>Q5=2</formula>
    </cfRule>
    <cfRule type="expression" dxfId="49" priority="15" stopIfTrue="1">
      <formula>Q5=1</formula>
    </cfRule>
    <cfRule type="expression" dxfId="48" priority="16" stopIfTrue="1">
      <formula>IF($A5=1,1,IF($A5=7,1,IF(Q$2="Q",IF($A5=2,IF($B5&lt;8,IF(MOD($B$3,3)&lt;&gt;0,1,0),1),1),IF(Q$2="M",IF($A5=2,IF($B5&gt;7,1,0),1),IF(Q$2="W",IF($A5=2,0,1),0)))))</formula>
    </cfRule>
  </conditionalFormatting>
  <conditionalFormatting sqref="AV5:AV35">
    <cfRule type="expression" dxfId="47" priority="9" stopIfTrue="1">
      <formula>AV5=3</formula>
    </cfRule>
    <cfRule type="expression" dxfId="46" priority="10" stopIfTrue="1">
      <formula>AV5=2</formula>
    </cfRule>
    <cfRule type="expression" dxfId="45" priority="11" stopIfTrue="1">
      <formula>AV5=1</formula>
    </cfRule>
    <cfRule type="expression" dxfId="44" priority="12" stopIfTrue="1">
      <formula>IF($A5=1,1,IF($A5=7,1,IF(AV$2="Q",IF($A5=2,IF($B5&lt;8,IF(MOD($B$3,3)&lt;&gt;0,1,0),1),1),IF(AV$2="M",IF($A5=2,IF($B5&gt;7,1,0),1),IF(AV$2="W",IF($A5=2,0,1),0)))))</formula>
    </cfRule>
  </conditionalFormatting>
  <conditionalFormatting sqref="CA5:CA35">
    <cfRule type="expression" dxfId="43" priority="5" stopIfTrue="1">
      <formula>CA5=3</formula>
    </cfRule>
    <cfRule type="expression" dxfId="42" priority="6" stopIfTrue="1">
      <formula>CA5=2</formula>
    </cfRule>
    <cfRule type="expression" dxfId="41" priority="7" stopIfTrue="1">
      <formula>CA5=1</formula>
    </cfRule>
    <cfRule type="expression" dxfId="40" priority="8" stopIfTrue="1">
      <formula>IF($A5=1,1,IF($A5=7,1,IF(CA$2="Q",IF($A5=2,IF($B5&lt;8,IF(MOD($B$3,3)&lt;&gt;0,1,0),1),1),IF(CA$2="M",IF($A5=2,IF($B5&gt;7,1,0),1),IF(CA$2="W",IF($A5=2,0,1),0)))))</formula>
    </cfRule>
  </conditionalFormatting>
  <conditionalFormatting sqref="DF5:DF35">
    <cfRule type="expression" dxfId="39" priority="1" stopIfTrue="1">
      <formula>DF5=3</formula>
    </cfRule>
    <cfRule type="expression" dxfId="38" priority="2" stopIfTrue="1">
      <formula>DF5=2</formula>
    </cfRule>
    <cfRule type="expression" dxfId="37" priority="3" stopIfTrue="1">
      <formula>DF5=1</formula>
    </cfRule>
    <cfRule type="expression" dxfId="36" priority="4" stopIfTrue="1">
      <formula>IF($A5=1,1,IF($A5=7,1,IF(DF$2="Q",IF($A5=2,IF($B5&lt;8,IF(MOD($B$3,3)&lt;&gt;0,1,0),1),1),IF(DF$2="M",IF($A5=2,IF($B5&gt;7,1,0),1),IF(DF$2="W",IF($A5=2,0,1),0)))))</formula>
    </cfRule>
  </conditionalFormatting>
  <dataValidations count="4">
    <dataValidation type="list" allowBlank="1" showInputMessage="1" showErrorMessage="1" sqref="BN5:CQ35 D5:AG35 AI5:BL35 CS5:DV35" xr:uid="{43EA52B3-B9AB-4F9B-9C5E-2A3F4B473062}">
      <formula1>Status</formula1>
    </dataValidation>
    <dataValidation type="list" allowBlank="1" showInputMessage="1" showErrorMessage="1" sqref="C3" xr:uid="{C7291B5B-4709-4769-BE11-B1FB791565F2}">
      <formula1>List_Maanden</formula1>
    </dataValidation>
    <dataValidation type="list" allowBlank="1" showInputMessage="1" showErrorMessage="1" sqref="DW5:DW35 CR5:CR35 BM5:BM35 AH5:AH35" xr:uid="{2D394669-4763-4E15-A225-9F6307D2D512}">
      <formula1>List_Personen</formula1>
    </dataValidation>
    <dataValidation type="list" allowBlank="1" showInputMessage="1" showErrorMessage="1" sqref="DB2:DC2 AR2:AS2 BW2:BX2 D2:AG2 AV2 CA2 DF2" xr:uid="{2DDA5168-DF8A-47CB-B1E3-D1CA74482B7F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EK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1" width="3.19921875" bestFit="1" customWidth="1"/>
    <col min="12" max="24" width="3.19921875" customWidth="1"/>
    <col min="25" max="25" width="3.19921875" bestFit="1" customWidth="1"/>
    <col min="26" max="32" width="3.19921875" customWidth="1"/>
    <col min="33" max="33" width="2.73046875" bestFit="1" customWidth="1"/>
    <col min="34" max="34" width="14" bestFit="1" customWidth="1"/>
    <col min="35" max="41" width="3.19921875" bestFit="1" customWidth="1"/>
    <col min="42" max="42" width="2.73046875" bestFit="1" customWidth="1"/>
    <col min="43" max="43" width="2.73046875" customWidth="1"/>
    <col min="44" max="45" width="3.19921875" customWidth="1"/>
    <col min="46" max="47" width="2.73046875" customWidth="1"/>
    <col min="48" max="48" width="3.19921875" customWidth="1"/>
    <col min="49" max="64" width="2.73046875" customWidth="1"/>
    <col min="65" max="65" width="14" bestFit="1" customWidth="1"/>
    <col min="66" max="72" width="3.19921875" bestFit="1" customWidth="1"/>
    <col min="73" max="73" width="2.73046875" bestFit="1" customWidth="1"/>
    <col min="74" max="74" width="2.73046875" customWidth="1"/>
    <col min="75" max="76" width="3.19921875" customWidth="1"/>
    <col min="77" max="78" width="2.73046875" customWidth="1"/>
    <col min="79" max="79" width="3.19921875" customWidth="1"/>
    <col min="80" max="95" width="2.73046875" customWidth="1"/>
    <col min="96" max="96" width="14" bestFit="1" customWidth="1"/>
    <col min="97" max="103" width="3.19921875" bestFit="1" customWidth="1"/>
    <col min="104" max="104" width="2.73046875" bestFit="1" customWidth="1"/>
    <col min="105" max="105" width="2.73046875" customWidth="1"/>
    <col min="106" max="107" width="3.19921875" customWidth="1"/>
    <col min="108" max="109" width="2.73046875" customWidth="1"/>
    <col min="110" max="110" width="3.19921875" customWidth="1"/>
    <col min="111" max="126" width="2.73046875" customWidth="1"/>
    <col min="127" max="127" width="14" bestFit="1" customWidth="1"/>
    <col min="128" max="128" width="6" customWidth="1"/>
  </cols>
  <sheetData>
    <row r="1" spans="1:141" ht="18.399999999999999" thickBot="1" x14ac:dyDescent="0.6">
      <c r="A1" s="74"/>
      <c r="B1" s="74"/>
      <c r="C1" s="75" t="s">
        <v>5</v>
      </c>
      <c r="D1" s="76" t="s">
        <v>44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8"/>
      <c r="AI1" s="79" t="s">
        <v>45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1"/>
      <c r="BN1" s="82" t="s">
        <v>46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4"/>
      <c r="CS1" s="85" t="s">
        <v>47</v>
      </c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7"/>
    </row>
    <row r="2" spans="1:141" ht="13.5" thickBot="1" x14ac:dyDescent="0.45">
      <c r="A2" s="74" t="s">
        <v>13</v>
      </c>
      <c r="B2" s="74" t="s">
        <v>14</v>
      </c>
      <c r="C2" s="88" t="s">
        <v>3</v>
      </c>
      <c r="D2" s="89" t="s">
        <v>2</v>
      </c>
      <c r="E2" s="90" t="s">
        <v>2</v>
      </c>
      <c r="F2" s="90" t="s">
        <v>2</v>
      </c>
      <c r="G2" s="90" t="s">
        <v>2</v>
      </c>
      <c r="H2" s="90" t="s">
        <v>2</v>
      </c>
      <c r="I2" s="91" t="s">
        <v>2</v>
      </c>
      <c r="J2" s="91" t="s">
        <v>2</v>
      </c>
      <c r="K2" s="91" t="s">
        <v>2</v>
      </c>
      <c r="L2" s="91" t="s">
        <v>2</v>
      </c>
      <c r="M2" s="91" t="s">
        <v>2</v>
      </c>
      <c r="N2" s="91" t="s">
        <v>2</v>
      </c>
      <c r="O2" s="91" t="s">
        <v>2</v>
      </c>
      <c r="P2" s="91" t="s">
        <v>2</v>
      </c>
      <c r="Q2" s="91" t="s">
        <v>2</v>
      </c>
      <c r="R2" s="91" t="s">
        <v>2</v>
      </c>
      <c r="S2" s="91" t="s">
        <v>2</v>
      </c>
      <c r="T2" s="91" t="s">
        <v>2</v>
      </c>
      <c r="U2" s="91" t="s">
        <v>2</v>
      </c>
      <c r="V2" s="91" t="s">
        <v>2</v>
      </c>
      <c r="W2" s="91" t="s">
        <v>2</v>
      </c>
      <c r="X2" s="91" t="s">
        <v>0</v>
      </c>
      <c r="Y2" s="91" t="s">
        <v>0</v>
      </c>
      <c r="Z2" s="91" t="s">
        <v>0</v>
      </c>
      <c r="AA2" s="91" t="s">
        <v>0</v>
      </c>
      <c r="AB2" s="91" t="s">
        <v>1</v>
      </c>
      <c r="AC2" s="91" t="s">
        <v>1</v>
      </c>
      <c r="AD2" s="91" t="s">
        <v>1</v>
      </c>
      <c r="AE2" s="91" t="s">
        <v>1</v>
      </c>
      <c r="AF2" s="91" t="s">
        <v>39</v>
      </c>
      <c r="AG2" s="91" t="s">
        <v>39</v>
      </c>
      <c r="AH2" s="92"/>
      <c r="AI2" s="89" t="str">
        <f t="shared" ref="AI2:AQ2" si="0">+D2</f>
        <v>D</v>
      </c>
      <c r="AJ2" s="89" t="str">
        <f t="shared" si="0"/>
        <v>D</v>
      </c>
      <c r="AK2" s="89" t="str">
        <f t="shared" si="0"/>
        <v>D</v>
      </c>
      <c r="AL2" s="89" t="str">
        <f t="shared" si="0"/>
        <v>D</v>
      </c>
      <c r="AM2" s="89" t="str">
        <f t="shared" si="0"/>
        <v>D</v>
      </c>
      <c r="AN2" s="89" t="str">
        <f t="shared" si="0"/>
        <v>D</v>
      </c>
      <c r="AO2" s="89" t="str">
        <f t="shared" si="0"/>
        <v>D</v>
      </c>
      <c r="AP2" s="89" t="str">
        <f t="shared" si="0"/>
        <v>D</v>
      </c>
      <c r="AQ2" s="89" t="str">
        <f t="shared" si="0"/>
        <v>D</v>
      </c>
      <c r="AR2" s="91" t="s">
        <v>2</v>
      </c>
      <c r="AS2" s="91" t="s">
        <v>2</v>
      </c>
      <c r="AT2" s="89" t="str">
        <f>+O2</f>
        <v>D</v>
      </c>
      <c r="AU2" s="89" t="str">
        <f>+P2</f>
        <v>D</v>
      </c>
      <c r="AV2" s="91" t="s">
        <v>2</v>
      </c>
      <c r="AW2" s="89" t="str">
        <f t="shared" ref="AW2:BL2" si="1">+R2</f>
        <v>D</v>
      </c>
      <c r="AX2" s="89" t="str">
        <f t="shared" si="1"/>
        <v>D</v>
      </c>
      <c r="AY2" s="89" t="str">
        <f t="shared" si="1"/>
        <v>D</v>
      </c>
      <c r="AZ2" s="89" t="str">
        <f t="shared" si="1"/>
        <v>D</v>
      </c>
      <c r="BA2" s="89" t="str">
        <f t="shared" si="1"/>
        <v>D</v>
      </c>
      <c r="BB2" s="89" t="str">
        <f t="shared" si="1"/>
        <v>D</v>
      </c>
      <c r="BC2" s="89" t="str">
        <f t="shared" si="1"/>
        <v>W</v>
      </c>
      <c r="BD2" s="89" t="str">
        <f t="shared" si="1"/>
        <v>W</v>
      </c>
      <c r="BE2" s="89" t="str">
        <f t="shared" si="1"/>
        <v>W</v>
      </c>
      <c r="BF2" s="89" t="str">
        <f t="shared" si="1"/>
        <v>W</v>
      </c>
      <c r="BG2" s="89" t="str">
        <f t="shared" si="1"/>
        <v>M</v>
      </c>
      <c r="BH2" s="89" t="str">
        <f t="shared" si="1"/>
        <v>M</v>
      </c>
      <c r="BI2" s="89" t="str">
        <f t="shared" si="1"/>
        <v>M</v>
      </c>
      <c r="BJ2" s="89" t="str">
        <f t="shared" si="1"/>
        <v>M</v>
      </c>
      <c r="BK2" s="89" t="str">
        <f t="shared" si="1"/>
        <v>Q</v>
      </c>
      <c r="BL2" s="89" t="str">
        <f t="shared" si="1"/>
        <v>Q</v>
      </c>
      <c r="BM2" s="92"/>
      <c r="BN2" s="89" t="str">
        <f>+D2</f>
        <v>D</v>
      </c>
      <c r="BO2" s="90" t="str">
        <f t="shared" ref="BO2:BO4" si="2">+E2</f>
        <v>D</v>
      </c>
      <c r="BP2" s="90" t="str">
        <f t="shared" ref="BP2:BP4" si="3">+F2</f>
        <v>D</v>
      </c>
      <c r="BQ2" s="90" t="str">
        <f t="shared" ref="BQ2:BQ4" si="4">+G2</f>
        <v>D</v>
      </c>
      <c r="BR2" s="90" t="str">
        <f t="shared" ref="BR2:BR4" si="5">+H2</f>
        <v>D</v>
      </c>
      <c r="BS2" s="91" t="str">
        <f t="shared" ref="BS2:BS4" si="6">+I2</f>
        <v>D</v>
      </c>
      <c r="BT2" s="91" t="str">
        <f t="shared" ref="BT2:BT4" si="7">+J2</f>
        <v>D</v>
      </c>
      <c r="BU2" s="91" t="str">
        <f t="shared" ref="BU2:BU4" si="8">+K2</f>
        <v>D</v>
      </c>
      <c r="BV2" s="91" t="str">
        <f t="shared" ref="BV2:BV4" si="9">+L2</f>
        <v>D</v>
      </c>
      <c r="BW2" s="91" t="s">
        <v>2</v>
      </c>
      <c r="BX2" s="91" t="s">
        <v>2</v>
      </c>
      <c r="BY2" s="91" t="str">
        <f t="shared" ref="BY2:BY4" si="10">+O2</f>
        <v>D</v>
      </c>
      <c r="BZ2" s="91" t="str">
        <f t="shared" ref="BZ2:BZ4" si="11">+P2</f>
        <v>D</v>
      </c>
      <c r="CA2" s="91" t="s">
        <v>2</v>
      </c>
      <c r="CB2" s="91" t="str">
        <f t="shared" ref="CB2:CB4" si="12">+R2</f>
        <v>D</v>
      </c>
      <c r="CC2" s="91" t="str">
        <f t="shared" ref="CC2:CC4" si="13">+S2</f>
        <v>D</v>
      </c>
      <c r="CD2" s="91" t="str">
        <f t="shared" ref="CD2:CD4" si="14">+T2</f>
        <v>D</v>
      </c>
      <c r="CE2" s="91" t="str">
        <f t="shared" ref="CE2:CE4" si="15">+U2</f>
        <v>D</v>
      </c>
      <c r="CF2" s="91" t="str">
        <f t="shared" ref="CF2:CF4" si="16">+V2</f>
        <v>D</v>
      </c>
      <c r="CG2" s="91" t="str">
        <f t="shared" ref="CG2:CG4" si="17">+W2</f>
        <v>D</v>
      </c>
      <c r="CH2" s="91" t="str">
        <f t="shared" ref="CH2:CH4" si="18">+X2</f>
        <v>W</v>
      </c>
      <c r="CI2" s="91" t="str">
        <f t="shared" ref="CI2:CI4" si="19">+Y2</f>
        <v>W</v>
      </c>
      <c r="CJ2" s="91" t="str">
        <f t="shared" ref="CJ2:CJ4" si="20">+Z2</f>
        <v>W</v>
      </c>
      <c r="CK2" s="91" t="str">
        <f t="shared" ref="CK2:CK4" si="21">+AA2</f>
        <v>W</v>
      </c>
      <c r="CL2" s="91" t="str">
        <f t="shared" ref="CL2:CL4" si="22">+AB2</f>
        <v>M</v>
      </c>
      <c r="CM2" s="91" t="str">
        <f t="shared" ref="CM2:CM4" si="23">+AC2</f>
        <v>M</v>
      </c>
      <c r="CN2" s="91" t="str">
        <f t="shared" ref="CN2:CN4" si="24">+AD2</f>
        <v>M</v>
      </c>
      <c r="CO2" s="91" t="str">
        <f t="shared" ref="CO2:CO4" si="25">+AE2</f>
        <v>M</v>
      </c>
      <c r="CP2" s="91" t="str">
        <f t="shared" ref="CP2:CP4" si="26">+AF2</f>
        <v>Q</v>
      </c>
      <c r="CQ2" s="91" t="str">
        <f t="shared" ref="CQ2:CQ4" si="27">+AG2</f>
        <v>Q</v>
      </c>
      <c r="CR2" s="92"/>
      <c r="CS2" s="89" t="str">
        <f>+D2</f>
        <v>D</v>
      </c>
      <c r="CT2" s="90" t="str">
        <f t="shared" ref="CT2:CT4" si="28">+E2</f>
        <v>D</v>
      </c>
      <c r="CU2" s="90" t="str">
        <f t="shared" ref="CU2:CU4" si="29">+F2</f>
        <v>D</v>
      </c>
      <c r="CV2" s="90" t="str">
        <f t="shared" ref="CV2:CV4" si="30">+G2</f>
        <v>D</v>
      </c>
      <c r="CW2" s="90" t="str">
        <f t="shared" ref="CW2:CW4" si="31">+H2</f>
        <v>D</v>
      </c>
      <c r="CX2" s="91" t="str">
        <f t="shared" ref="CX2:CX4" si="32">+I2</f>
        <v>D</v>
      </c>
      <c r="CY2" s="91" t="str">
        <f t="shared" ref="CY2:CY4" si="33">+J2</f>
        <v>D</v>
      </c>
      <c r="CZ2" s="91" t="str">
        <f t="shared" ref="CZ2:CZ4" si="34">+K2</f>
        <v>D</v>
      </c>
      <c r="DA2" s="91" t="str">
        <f t="shared" ref="DA2:DA4" si="35">+L2</f>
        <v>D</v>
      </c>
      <c r="DB2" s="91" t="s">
        <v>2</v>
      </c>
      <c r="DC2" s="91" t="s">
        <v>2</v>
      </c>
      <c r="DD2" s="91" t="str">
        <f t="shared" ref="DD2:DD4" si="36">+O2</f>
        <v>D</v>
      </c>
      <c r="DE2" s="91" t="str">
        <f t="shared" ref="DE2:DE4" si="37">+P2</f>
        <v>D</v>
      </c>
      <c r="DF2" s="91" t="s">
        <v>2</v>
      </c>
      <c r="DG2" s="91" t="str">
        <f t="shared" ref="DG2:DG4" si="38">+R2</f>
        <v>D</v>
      </c>
      <c r="DH2" s="91" t="str">
        <f t="shared" ref="DH2:DH4" si="39">+S2</f>
        <v>D</v>
      </c>
      <c r="DI2" s="91" t="str">
        <f t="shared" ref="DI2:DI4" si="40">+T2</f>
        <v>D</v>
      </c>
      <c r="DJ2" s="91" t="str">
        <f t="shared" ref="DJ2:DJ4" si="41">+U2</f>
        <v>D</v>
      </c>
      <c r="DK2" s="91" t="str">
        <f t="shared" ref="DK2:DK4" si="42">+V2</f>
        <v>D</v>
      </c>
      <c r="DL2" s="91" t="str">
        <f t="shared" ref="DL2:DL4" si="43">+W2</f>
        <v>D</v>
      </c>
      <c r="DM2" s="91" t="str">
        <f t="shared" ref="DM2:DM4" si="44">+X2</f>
        <v>W</v>
      </c>
      <c r="DN2" s="91" t="str">
        <f t="shared" ref="DN2:DN4" si="45">+Y2</f>
        <v>W</v>
      </c>
      <c r="DO2" s="91" t="str">
        <f t="shared" ref="DO2:DO4" si="46">+Z2</f>
        <v>W</v>
      </c>
      <c r="DP2" s="91" t="str">
        <f t="shared" ref="DP2:DP4" si="47">+AA2</f>
        <v>W</v>
      </c>
      <c r="DQ2" s="91" t="str">
        <f t="shared" ref="DQ2:DQ4" si="48">+AB2</f>
        <v>M</v>
      </c>
      <c r="DR2" s="91" t="str">
        <f t="shared" ref="DR2:DR4" si="49">+AC2</f>
        <v>M</v>
      </c>
      <c r="DS2" s="91" t="str">
        <f t="shared" ref="DS2:DS4" si="50">+AD2</f>
        <v>M</v>
      </c>
      <c r="DT2" s="91" t="str">
        <f t="shared" ref="DT2:DT4" si="51">+AE2</f>
        <v>M</v>
      </c>
      <c r="DU2" s="91" t="str">
        <f t="shared" ref="DU2:DU4" si="52">+AF2</f>
        <v>Q</v>
      </c>
      <c r="DV2" s="91" t="str">
        <f t="shared" ref="DV2:DV4" si="53">+AG2</f>
        <v>Q</v>
      </c>
      <c r="DW2" s="92"/>
    </row>
    <row r="3" spans="1:141" ht="150" x14ac:dyDescent="0.4">
      <c r="A3" s="74"/>
      <c r="B3" s="74">
        <f>VLOOKUP(C3,Data!E2:F13,2,FALSE)</f>
        <v>1</v>
      </c>
      <c r="C3" s="93" t="s">
        <v>57</v>
      </c>
      <c r="D3" s="94" t="s">
        <v>82</v>
      </c>
      <c r="E3" s="95" t="s">
        <v>37</v>
      </c>
      <c r="F3" s="95" t="s">
        <v>31</v>
      </c>
      <c r="G3" s="95" t="s">
        <v>32</v>
      </c>
      <c r="H3" s="95" t="s">
        <v>33</v>
      </c>
      <c r="I3" s="95" t="s">
        <v>36</v>
      </c>
      <c r="J3" s="95" t="s">
        <v>35</v>
      </c>
      <c r="K3" s="95" t="s">
        <v>83</v>
      </c>
      <c r="L3" s="95" t="s">
        <v>87</v>
      </c>
      <c r="M3" s="95" t="s">
        <v>98</v>
      </c>
      <c r="N3" s="95" t="s">
        <v>99</v>
      </c>
      <c r="O3" s="95" t="s">
        <v>43</v>
      </c>
      <c r="P3" s="95" t="s">
        <v>30</v>
      </c>
      <c r="Q3" s="95" t="s">
        <v>100</v>
      </c>
      <c r="R3" s="95" t="s">
        <v>84</v>
      </c>
      <c r="S3" s="95" t="s">
        <v>85</v>
      </c>
      <c r="T3" s="95" t="s">
        <v>22</v>
      </c>
      <c r="U3" s="95" t="s">
        <v>38</v>
      </c>
      <c r="V3" s="95" t="s">
        <v>86</v>
      </c>
      <c r="W3" s="95" t="s">
        <v>34</v>
      </c>
      <c r="X3" s="95" t="s">
        <v>88</v>
      </c>
      <c r="Y3" s="95" t="s">
        <v>97</v>
      </c>
      <c r="Z3" s="95" t="s">
        <v>89</v>
      </c>
      <c r="AA3" s="95" t="s">
        <v>90</v>
      </c>
      <c r="AB3" s="95" t="s">
        <v>91</v>
      </c>
      <c r="AC3" s="95" t="s">
        <v>92</v>
      </c>
      <c r="AD3" s="95" t="s">
        <v>93</v>
      </c>
      <c r="AE3" s="95" t="s">
        <v>94</v>
      </c>
      <c r="AF3" s="95" t="s">
        <v>96</v>
      </c>
      <c r="AG3" s="95" t="s">
        <v>95</v>
      </c>
      <c r="AH3" s="96" t="s">
        <v>81</v>
      </c>
      <c r="AI3" s="94" t="str">
        <f t="shared" ref="AI3:AL4" si="54">+D3</f>
        <v>Quick environment check</v>
      </c>
      <c r="AJ3" s="94" t="str">
        <f t="shared" si="54"/>
        <v>Health Analyzer Issues</v>
      </c>
      <c r="AK3" s="94" t="str">
        <f t="shared" si="54"/>
        <v>Content Database Status</v>
      </c>
      <c r="AL3" s="94" t="str">
        <f t="shared" si="54"/>
        <v>Upgrade Status Servers</v>
      </c>
      <c r="AM3" s="94" t="str">
        <f t="shared" ref="AM3" si="55">+H3</f>
        <v>Upgrade Status Databases</v>
      </c>
      <c r="AN3" s="94" t="str">
        <f t="shared" ref="AN3" si="56">+I3</f>
        <v>Failed Timer Jobs</v>
      </c>
      <c r="AO3" s="94" t="str">
        <f t="shared" ref="AO3" si="57">+J3</f>
        <v>Deployment Status Solutions</v>
      </c>
      <c r="AP3" s="94" t="str">
        <f t="shared" ref="AP3" si="58">+K3</f>
        <v>Content Database Size</v>
      </c>
      <c r="AQ3" s="94" t="str">
        <f t="shared" ref="AQ3" si="59">+L3</f>
        <v>Service Application Status</v>
      </c>
      <c r="AR3" s="95" t="s">
        <v>98</v>
      </c>
      <c r="AS3" s="95" t="s">
        <v>99</v>
      </c>
      <c r="AT3" s="94" t="str">
        <f t="shared" ref="AT3" si="60">+O3</f>
        <v>Search Topology</v>
      </c>
      <c r="AU3" s="94" t="str">
        <f t="shared" ref="AU3" si="61">+P3</f>
        <v>Search Gatherer Logs</v>
      </c>
      <c r="AV3" s="95" t="s">
        <v>100</v>
      </c>
      <c r="AW3" s="94" t="str">
        <f t="shared" ref="AW3" si="62">+R3</f>
        <v>Last Boot Time</v>
      </c>
      <c r="AX3" s="94" t="str">
        <f t="shared" ref="AX3" si="63">+S3</f>
        <v>Running Services Check</v>
      </c>
      <c r="AY3" s="94" t="str">
        <f t="shared" ref="AY3" si="64">+T3</f>
        <v>Scheduled Tasks</v>
      </c>
      <c r="AZ3" s="94" t="str">
        <f t="shared" ref="AZ3" si="65">+U3</f>
        <v>Running websites en application pools</v>
      </c>
      <c r="BA3" s="94" t="str">
        <f t="shared" ref="BA3" si="66">+V3</f>
        <v>Group Membership Check</v>
      </c>
      <c r="BB3" s="94" t="str">
        <f t="shared" ref="BB3" si="67">+W3</f>
        <v>Backup Status</v>
      </c>
      <c r="BC3" s="94" t="str">
        <f t="shared" ref="BC3" si="68">+X3</f>
        <v>Permissions Check</v>
      </c>
      <c r="BD3" s="94" t="str">
        <f t="shared" ref="BD3" si="69">+Y3</f>
        <v>New Updates</v>
      </c>
      <c r="BE3" s="94" t="str">
        <f t="shared" ref="BE3" si="70">+Z3</f>
        <v>Baseline Settings</v>
      </c>
      <c r="BF3" s="94" t="str">
        <f t="shared" ref="BF3" si="71">+AA3</f>
        <v>Access Check</v>
      </c>
      <c r="BG3" s="94" t="str">
        <f t="shared" ref="BG3" si="72">+AB3</f>
        <v>Missing Security Updates/Service Packs</v>
      </c>
      <c r="BH3" s="94" t="str">
        <f t="shared" ref="BH3" si="73">+AC3</f>
        <v>Policy Compliance</v>
      </c>
      <c r="BI3" s="94" t="str">
        <f t="shared" ref="BI3" si="74">+AD3</f>
        <v>Documentation Check</v>
      </c>
      <c r="BJ3" s="94" t="str">
        <f t="shared" ref="BJ3" si="75">+AE3</f>
        <v>SSL Certificates Check</v>
      </c>
      <c r="BK3" s="94" t="str">
        <f t="shared" ref="BK3" si="76">+AF3</f>
        <v>Disaster Recovery Test</v>
      </c>
      <c r="BL3" s="94" t="str">
        <f t="shared" ref="BL3" si="77">+AG3</f>
        <v>Lifecycle Check</v>
      </c>
      <c r="BM3" s="96" t="str">
        <f>+AH3</f>
        <v>Performed by:</v>
      </c>
      <c r="BN3" s="94" t="str">
        <f t="shared" ref="BN3:BN4" si="78">+D3</f>
        <v>Quick environment check</v>
      </c>
      <c r="BO3" s="95" t="str">
        <f t="shared" si="2"/>
        <v>Health Analyzer Issues</v>
      </c>
      <c r="BP3" s="95" t="str">
        <f t="shared" si="3"/>
        <v>Content Database Status</v>
      </c>
      <c r="BQ3" s="95" t="str">
        <f t="shared" si="4"/>
        <v>Upgrade Status Servers</v>
      </c>
      <c r="BR3" s="95" t="str">
        <f t="shared" si="5"/>
        <v>Upgrade Status Databases</v>
      </c>
      <c r="BS3" s="95" t="str">
        <f t="shared" si="6"/>
        <v>Failed Timer Jobs</v>
      </c>
      <c r="BT3" s="95" t="str">
        <f t="shared" si="7"/>
        <v>Deployment Status Solutions</v>
      </c>
      <c r="BU3" s="95" t="str">
        <f t="shared" si="8"/>
        <v>Content Database Size</v>
      </c>
      <c r="BV3" s="95" t="str">
        <f t="shared" si="9"/>
        <v>Service Application Status</v>
      </c>
      <c r="BW3" s="95" t="s">
        <v>98</v>
      </c>
      <c r="BX3" s="95" t="s">
        <v>99</v>
      </c>
      <c r="BY3" s="95" t="str">
        <f t="shared" si="10"/>
        <v>Search Topology</v>
      </c>
      <c r="BZ3" s="95" t="str">
        <f t="shared" si="11"/>
        <v>Search Gatherer Logs</v>
      </c>
      <c r="CA3" s="95" t="s">
        <v>100</v>
      </c>
      <c r="CB3" s="95" t="str">
        <f t="shared" si="12"/>
        <v>Last Boot Time</v>
      </c>
      <c r="CC3" s="95" t="str">
        <f t="shared" si="13"/>
        <v>Running Services Check</v>
      </c>
      <c r="CD3" s="95" t="str">
        <f t="shared" si="14"/>
        <v>Scheduled Tasks</v>
      </c>
      <c r="CE3" s="95" t="str">
        <f t="shared" si="15"/>
        <v>Running websites en application pools</v>
      </c>
      <c r="CF3" s="95" t="str">
        <f t="shared" si="16"/>
        <v>Group Membership Check</v>
      </c>
      <c r="CG3" s="95" t="str">
        <f t="shared" si="17"/>
        <v>Backup Status</v>
      </c>
      <c r="CH3" s="95" t="str">
        <f t="shared" si="18"/>
        <v>Permissions Check</v>
      </c>
      <c r="CI3" s="95" t="str">
        <f t="shared" si="19"/>
        <v>New Updates</v>
      </c>
      <c r="CJ3" s="95" t="str">
        <f t="shared" si="20"/>
        <v>Baseline Settings</v>
      </c>
      <c r="CK3" s="95" t="str">
        <f t="shared" si="21"/>
        <v>Access Check</v>
      </c>
      <c r="CL3" s="95" t="str">
        <f t="shared" si="22"/>
        <v>Missing Security Updates/Service Packs</v>
      </c>
      <c r="CM3" s="95" t="str">
        <f t="shared" si="23"/>
        <v>Policy Compliance</v>
      </c>
      <c r="CN3" s="95" t="str">
        <f t="shared" si="24"/>
        <v>Documentation Check</v>
      </c>
      <c r="CO3" s="95" t="str">
        <f t="shared" si="25"/>
        <v>SSL Certificates Check</v>
      </c>
      <c r="CP3" s="95" t="str">
        <f t="shared" si="26"/>
        <v>Disaster Recovery Test</v>
      </c>
      <c r="CQ3" s="95" t="str">
        <f t="shared" si="27"/>
        <v>Lifecycle Check</v>
      </c>
      <c r="CR3" s="96" t="str">
        <f>+AH3</f>
        <v>Performed by:</v>
      </c>
      <c r="CS3" s="94" t="str">
        <f t="shared" ref="CS3:CS4" si="79">+D3</f>
        <v>Quick environment check</v>
      </c>
      <c r="CT3" s="95" t="str">
        <f t="shared" si="28"/>
        <v>Health Analyzer Issues</v>
      </c>
      <c r="CU3" s="95" t="str">
        <f t="shared" si="29"/>
        <v>Content Database Status</v>
      </c>
      <c r="CV3" s="95" t="str">
        <f t="shared" si="30"/>
        <v>Upgrade Status Servers</v>
      </c>
      <c r="CW3" s="95" t="str">
        <f t="shared" si="31"/>
        <v>Upgrade Status Databases</v>
      </c>
      <c r="CX3" s="95" t="str">
        <f t="shared" si="32"/>
        <v>Failed Timer Jobs</v>
      </c>
      <c r="CY3" s="95" t="str">
        <f t="shared" si="33"/>
        <v>Deployment Status Solutions</v>
      </c>
      <c r="CZ3" s="95" t="str">
        <f t="shared" si="34"/>
        <v>Content Database Size</v>
      </c>
      <c r="DA3" s="95" t="str">
        <f t="shared" si="35"/>
        <v>Service Application Status</v>
      </c>
      <c r="DB3" s="95" t="s">
        <v>98</v>
      </c>
      <c r="DC3" s="95" t="s">
        <v>99</v>
      </c>
      <c r="DD3" s="95" t="str">
        <f t="shared" si="36"/>
        <v>Search Topology</v>
      </c>
      <c r="DE3" s="95" t="str">
        <f t="shared" si="37"/>
        <v>Search Gatherer Logs</v>
      </c>
      <c r="DF3" s="95" t="s">
        <v>100</v>
      </c>
      <c r="DG3" s="95" t="str">
        <f t="shared" si="38"/>
        <v>Last Boot Time</v>
      </c>
      <c r="DH3" s="95" t="str">
        <f t="shared" si="39"/>
        <v>Running Services Check</v>
      </c>
      <c r="DI3" s="95" t="str">
        <f t="shared" si="40"/>
        <v>Scheduled Tasks</v>
      </c>
      <c r="DJ3" s="95" t="str">
        <f t="shared" si="41"/>
        <v>Running websites en application pools</v>
      </c>
      <c r="DK3" s="95" t="str">
        <f t="shared" si="42"/>
        <v>Group Membership Check</v>
      </c>
      <c r="DL3" s="95" t="str">
        <f t="shared" si="43"/>
        <v>Backup Status</v>
      </c>
      <c r="DM3" s="95" t="str">
        <f t="shared" si="44"/>
        <v>Permissions Check</v>
      </c>
      <c r="DN3" s="95" t="str">
        <f t="shared" si="45"/>
        <v>New Updates</v>
      </c>
      <c r="DO3" s="95" t="str">
        <f t="shared" si="46"/>
        <v>Baseline Settings</v>
      </c>
      <c r="DP3" s="95" t="str">
        <f t="shared" si="47"/>
        <v>Access Check</v>
      </c>
      <c r="DQ3" s="95" t="str">
        <f t="shared" si="48"/>
        <v>Missing Security Updates/Service Packs</v>
      </c>
      <c r="DR3" s="95" t="str">
        <f t="shared" si="49"/>
        <v>Policy Compliance</v>
      </c>
      <c r="DS3" s="95" t="str">
        <f t="shared" si="50"/>
        <v>Documentation Check</v>
      </c>
      <c r="DT3" s="95" t="str">
        <f t="shared" si="51"/>
        <v>SSL Certificates Check</v>
      </c>
      <c r="DU3" s="95" t="str">
        <f t="shared" si="52"/>
        <v>Disaster Recovery Test</v>
      </c>
      <c r="DV3" s="95" t="str">
        <f t="shared" si="53"/>
        <v>Lifecycle Check</v>
      </c>
      <c r="DW3" s="96" t="str">
        <f>+AH3</f>
        <v>Performed by:</v>
      </c>
      <c r="DX3" s="32"/>
      <c r="DY3" s="5"/>
      <c r="DZ3" s="5"/>
      <c r="EA3" s="5"/>
    </row>
    <row r="4" spans="1:141" ht="23.25" customHeight="1" thickBot="1" x14ac:dyDescent="0.45">
      <c r="A4" s="74"/>
      <c r="B4" s="74"/>
      <c r="C4" s="97">
        <f>Jaartal</f>
        <v>2020</v>
      </c>
      <c r="D4" s="94">
        <v>1</v>
      </c>
      <c r="E4" s="95">
        <v>10</v>
      </c>
      <c r="F4" s="95">
        <v>11</v>
      </c>
      <c r="G4" s="95">
        <v>12</v>
      </c>
      <c r="H4" s="95">
        <v>13</v>
      </c>
      <c r="I4" s="95">
        <v>14</v>
      </c>
      <c r="J4" s="95">
        <v>15</v>
      </c>
      <c r="K4" s="95">
        <v>16</v>
      </c>
      <c r="L4" s="95">
        <v>17</v>
      </c>
      <c r="M4" s="95">
        <v>18</v>
      </c>
      <c r="N4" s="95">
        <v>19</v>
      </c>
      <c r="O4" s="95">
        <v>20</v>
      </c>
      <c r="P4" s="95">
        <v>21</v>
      </c>
      <c r="Q4" s="95">
        <v>22</v>
      </c>
      <c r="R4" s="95">
        <v>30</v>
      </c>
      <c r="S4" s="95">
        <v>31</v>
      </c>
      <c r="T4" s="95">
        <v>32</v>
      </c>
      <c r="U4" s="95">
        <v>33</v>
      </c>
      <c r="V4" s="95">
        <v>34</v>
      </c>
      <c r="W4" s="95">
        <v>40</v>
      </c>
      <c r="X4" s="95" t="s">
        <v>23</v>
      </c>
      <c r="Y4" s="95" t="s">
        <v>24</v>
      </c>
      <c r="Z4" s="95" t="s">
        <v>25</v>
      </c>
      <c r="AA4" s="95" t="s">
        <v>26</v>
      </c>
      <c r="AB4" s="95" t="s">
        <v>27</v>
      </c>
      <c r="AC4" s="95" t="s">
        <v>28</v>
      </c>
      <c r="AD4" s="95" t="s">
        <v>29</v>
      </c>
      <c r="AE4" s="95" t="s">
        <v>42</v>
      </c>
      <c r="AF4" s="95" t="s">
        <v>40</v>
      </c>
      <c r="AG4" s="95" t="s">
        <v>41</v>
      </c>
      <c r="AH4" s="98"/>
      <c r="AI4" s="94">
        <f t="shared" si="54"/>
        <v>1</v>
      </c>
      <c r="AJ4" s="94">
        <f t="shared" si="54"/>
        <v>10</v>
      </c>
      <c r="AK4" s="94">
        <f t="shared" si="54"/>
        <v>11</v>
      </c>
      <c r="AL4" s="94">
        <f t="shared" si="54"/>
        <v>12</v>
      </c>
      <c r="AM4" s="94">
        <f>+H4</f>
        <v>13</v>
      </c>
      <c r="AN4" s="94">
        <f>+I4</f>
        <v>14</v>
      </c>
      <c r="AO4" s="94">
        <f>+J4</f>
        <v>15</v>
      </c>
      <c r="AP4" s="94">
        <f>+K4</f>
        <v>16</v>
      </c>
      <c r="AQ4" s="94">
        <f>+L4</f>
        <v>17</v>
      </c>
      <c r="AR4" s="95">
        <v>18</v>
      </c>
      <c r="AS4" s="95">
        <v>19</v>
      </c>
      <c r="AT4" s="94">
        <f>+O4</f>
        <v>20</v>
      </c>
      <c r="AU4" s="94">
        <f>+P4</f>
        <v>21</v>
      </c>
      <c r="AV4" s="95">
        <v>22</v>
      </c>
      <c r="AW4" s="94">
        <f t="shared" ref="AW4" si="80">+R4</f>
        <v>30</v>
      </c>
      <c r="AX4" s="94">
        <f t="shared" ref="AX4:BF4" si="81">+S4</f>
        <v>31</v>
      </c>
      <c r="AY4" s="94">
        <f t="shared" si="81"/>
        <v>32</v>
      </c>
      <c r="AZ4" s="94">
        <f t="shared" si="81"/>
        <v>33</v>
      </c>
      <c r="BA4" s="94">
        <f t="shared" si="81"/>
        <v>34</v>
      </c>
      <c r="BB4" s="94">
        <f t="shared" si="81"/>
        <v>40</v>
      </c>
      <c r="BC4" s="94" t="str">
        <f t="shared" si="81"/>
        <v>W01</v>
      </c>
      <c r="BD4" s="94" t="str">
        <f t="shared" si="81"/>
        <v>W02</v>
      </c>
      <c r="BE4" s="94" t="str">
        <f t="shared" si="81"/>
        <v>W03</v>
      </c>
      <c r="BF4" s="94" t="str">
        <f t="shared" si="81"/>
        <v>W04</v>
      </c>
      <c r="BG4" s="94" t="str">
        <f t="shared" ref="BG4" si="82">+AB4</f>
        <v>M01</v>
      </c>
      <c r="BH4" s="94" t="str">
        <f t="shared" ref="BH4" si="83">+AC4</f>
        <v>M02</v>
      </c>
      <c r="BI4" s="94" t="str">
        <f t="shared" ref="BI4" si="84">+AD4</f>
        <v>M03</v>
      </c>
      <c r="BJ4" s="94" t="str">
        <f t="shared" ref="BJ4" si="85">+AE4</f>
        <v>M04</v>
      </c>
      <c r="BK4" s="94" t="str">
        <f t="shared" ref="BK4" si="86">+AF4</f>
        <v>Q01</v>
      </c>
      <c r="BL4" s="94" t="str">
        <f t="shared" ref="BL4" si="87">+AG4</f>
        <v>Q02</v>
      </c>
      <c r="BM4" s="98"/>
      <c r="BN4" s="94">
        <f t="shared" si="78"/>
        <v>1</v>
      </c>
      <c r="BO4" s="95">
        <f t="shared" si="2"/>
        <v>10</v>
      </c>
      <c r="BP4" s="95">
        <f t="shared" si="3"/>
        <v>11</v>
      </c>
      <c r="BQ4" s="95">
        <f t="shared" si="4"/>
        <v>12</v>
      </c>
      <c r="BR4" s="95">
        <f t="shared" si="5"/>
        <v>13</v>
      </c>
      <c r="BS4" s="95">
        <f t="shared" si="6"/>
        <v>14</v>
      </c>
      <c r="BT4" s="95">
        <f t="shared" si="7"/>
        <v>15</v>
      </c>
      <c r="BU4" s="95">
        <f t="shared" si="8"/>
        <v>16</v>
      </c>
      <c r="BV4" s="95">
        <f t="shared" si="9"/>
        <v>17</v>
      </c>
      <c r="BW4" s="95">
        <v>18</v>
      </c>
      <c r="BX4" s="95">
        <v>19</v>
      </c>
      <c r="BY4" s="95">
        <f t="shared" si="10"/>
        <v>20</v>
      </c>
      <c r="BZ4" s="95">
        <f t="shared" si="11"/>
        <v>21</v>
      </c>
      <c r="CA4" s="95">
        <v>22</v>
      </c>
      <c r="CB4" s="95">
        <f t="shared" si="12"/>
        <v>30</v>
      </c>
      <c r="CC4" s="95">
        <f t="shared" si="13"/>
        <v>31</v>
      </c>
      <c r="CD4" s="95">
        <f t="shared" si="14"/>
        <v>32</v>
      </c>
      <c r="CE4" s="95">
        <f t="shared" si="15"/>
        <v>33</v>
      </c>
      <c r="CF4" s="95">
        <f t="shared" si="16"/>
        <v>34</v>
      </c>
      <c r="CG4" s="95">
        <f t="shared" si="17"/>
        <v>40</v>
      </c>
      <c r="CH4" s="95" t="str">
        <f t="shared" si="18"/>
        <v>W01</v>
      </c>
      <c r="CI4" s="95" t="str">
        <f t="shared" si="19"/>
        <v>W02</v>
      </c>
      <c r="CJ4" s="95" t="str">
        <f t="shared" si="20"/>
        <v>W03</v>
      </c>
      <c r="CK4" s="95" t="str">
        <f t="shared" si="21"/>
        <v>W04</v>
      </c>
      <c r="CL4" s="95" t="str">
        <f t="shared" si="22"/>
        <v>M01</v>
      </c>
      <c r="CM4" s="95" t="str">
        <f t="shared" si="23"/>
        <v>M02</v>
      </c>
      <c r="CN4" s="95" t="str">
        <f t="shared" si="24"/>
        <v>M03</v>
      </c>
      <c r="CO4" s="95" t="str">
        <f t="shared" si="25"/>
        <v>M04</v>
      </c>
      <c r="CP4" s="95" t="str">
        <f t="shared" si="26"/>
        <v>Q01</v>
      </c>
      <c r="CQ4" s="95" t="str">
        <f t="shared" si="27"/>
        <v>Q02</v>
      </c>
      <c r="CR4" s="98"/>
      <c r="CS4" s="94">
        <f t="shared" si="79"/>
        <v>1</v>
      </c>
      <c r="CT4" s="95">
        <f t="shared" si="28"/>
        <v>10</v>
      </c>
      <c r="CU4" s="95">
        <f t="shared" si="29"/>
        <v>11</v>
      </c>
      <c r="CV4" s="95">
        <f t="shared" si="30"/>
        <v>12</v>
      </c>
      <c r="CW4" s="95">
        <f t="shared" si="31"/>
        <v>13</v>
      </c>
      <c r="CX4" s="95">
        <f t="shared" si="32"/>
        <v>14</v>
      </c>
      <c r="CY4" s="95">
        <f t="shared" si="33"/>
        <v>15</v>
      </c>
      <c r="CZ4" s="95">
        <f t="shared" si="34"/>
        <v>16</v>
      </c>
      <c r="DA4" s="95">
        <f t="shared" si="35"/>
        <v>17</v>
      </c>
      <c r="DB4" s="95">
        <v>18</v>
      </c>
      <c r="DC4" s="95">
        <v>19</v>
      </c>
      <c r="DD4" s="95">
        <f t="shared" si="36"/>
        <v>20</v>
      </c>
      <c r="DE4" s="95">
        <f t="shared" si="37"/>
        <v>21</v>
      </c>
      <c r="DF4" s="95">
        <v>22</v>
      </c>
      <c r="DG4" s="95">
        <f t="shared" si="38"/>
        <v>30</v>
      </c>
      <c r="DH4" s="95">
        <f t="shared" si="39"/>
        <v>31</v>
      </c>
      <c r="DI4" s="95">
        <f t="shared" si="40"/>
        <v>32</v>
      </c>
      <c r="DJ4" s="95">
        <f t="shared" si="41"/>
        <v>33</v>
      </c>
      <c r="DK4" s="95">
        <f t="shared" si="42"/>
        <v>34</v>
      </c>
      <c r="DL4" s="95">
        <f t="shared" si="43"/>
        <v>40</v>
      </c>
      <c r="DM4" s="95" t="str">
        <f t="shared" si="44"/>
        <v>W01</v>
      </c>
      <c r="DN4" s="95" t="str">
        <f t="shared" si="45"/>
        <v>W02</v>
      </c>
      <c r="DO4" s="95" t="str">
        <f t="shared" si="46"/>
        <v>W03</v>
      </c>
      <c r="DP4" s="95" t="str">
        <f t="shared" si="47"/>
        <v>W04</v>
      </c>
      <c r="DQ4" s="95" t="str">
        <f t="shared" si="48"/>
        <v>M01</v>
      </c>
      <c r="DR4" s="95" t="str">
        <f t="shared" si="49"/>
        <v>M02</v>
      </c>
      <c r="DS4" s="95" t="str">
        <f t="shared" si="50"/>
        <v>M03</v>
      </c>
      <c r="DT4" s="95" t="str">
        <f t="shared" si="51"/>
        <v>M04</v>
      </c>
      <c r="DU4" s="95" t="str">
        <f t="shared" si="52"/>
        <v>Q01</v>
      </c>
      <c r="DV4" s="95" t="str">
        <f t="shared" si="53"/>
        <v>Q02</v>
      </c>
      <c r="DW4" s="98"/>
      <c r="DX4" s="32"/>
      <c r="DY4" s="5"/>
      <c r="DZ4" s="5"/>
      <c r="EA4" s="5"/>
    </row>
    <row r="5" spans="1:141" ht="13.15" x14ac:dyDescent="0.4">
      <c r="A5" s="74">
        <f>WEEKDAY(C5)</f>
        <v>4</v>
      </c>
      <c r="B5" s="74">
        <v>1</v>
      </c>
      <c r="C5" s="99">
        <f>DATE(Jaartal,Template!$B$3,Template!$B5)</f>
        <v>43831</v>
      </c>
      <c r="D5" s="100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2"/>
      <c r="AI5" s="100"/>
      <c r="AJ5" s="101"/>
      <c r="AK5" s="101"/>
      <c r="AL5" s="101"/>
      <c r="AM5" s="101"/>
      <c r="AN5" s="101"/>
      <c r="AO5" s="101"/>
      <c r="AP5" s="101"/>
      <c r="AQ5" s="103"/>
      <c r="AR5" s="101"/>
      <c r="AS5" s="101"/>
      <c r="AT5" s="103"/>
      <c r="AU5" s="103"/>
      <c r="AV5" s="101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2"/>
      <c r="BN5" s="100"/>
      <c r="BO5" s="101"/>
      <c r="BP5" s="101"/>
      <c r="BQ5" s="101"/>
      <c r="BR5" s="101"/>
      <c r="BS5" s="101"/>
      <c r="BT5" s="101"/>
      <c r="BU5" s="101"/>
      <c r="BV5" s="103"/>
      <c r="BW5" s="101"/>
      <c r="BX5" s="101"/>
      <c r="BY5" s="103"/>
      <c r="BZ5" s="103"/>
      <c r="CA5" s="101"/>
      <c r="CB5" s="103"/>
      <c r="CC5" s="103"/>
      <c r="CD5" s="103"/>
      <c r="CE5" s="103"/>
      <c r="CF5" s="103"/>
      <c r="CG5" s="103"/>
      <c r="CH5" s="103"/>
      <c r="CI5" s="103"/>
      <c r="CJ5" s="103"/>
      <c r="CK5" s="103"/>
      <c r="CL5" s="103"/>
      <c r="CM5" s="103"/>
      <c r="CN5" s="103"/>
      <c r="CO5" s="103"/>
      <c r="CP5" s="103"/>
      <c r="CQ5" s="103"/>
      <c r="CR5" s="102"/>
      <c r="CS5" s="100"/>
      <c r="CT5" s="101"/>
      <c r="CU5" s="101"/>
      <c r="CV5" s="101"/>
      <c r="CW5" s="101"/>
      <c r="CX5" s="101"/>
      <c r="CY5" s="101"/>
      <c r="CZ5" s="101"/>
      <c r="DA5" s="103"/>
      <c r="DB5" s="101"/>
      <c r="DC5" s="101"/>
      <c r="DD5" s="103"/>
      <c r="DE5" s="103"/>
      <c r="DF5" s="101"/>
      <c r="DG5" s="103"/>
      <c r="DH5" s="103"/>
      <c r="DI5" s="103"/>
      <c r="DJ5" s="103"/>
      <c r="DK5" s="103"/>
      <c r="DL5" s="103"/>
      <c r="DM5" s="103"/>
      <c r="DN5" s="103"/>
      <c r="DO5" s="103"/>
      <c r="DP5" s="103"/>
      <c r="DQ5" s="103"/>
      <c r="DR5" s="103"/>
      <c r="DS5" s="103"/>
      <c r="DT5" s="103"/>
      <c r="DU5" s="103"/>
      <c r="DV5" s="103"/>
      <c r="DW5" s="102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</row>
    <row r="6" spans="1:141" ht="13.15" x14ac:dyDescent="0.4">
      <c r="A6" s="74">
        <f t="shared" ref="A6:A35" si="88">WEEKDAY(C6)</f>
        <v>5</v>
      </c>
      <c r="B6" s="74">
        <v>2</v>
      </c>
      <c r="C6" s="99">
        <f>DATE(Jaartal,Template!$B$3,Template!$B6)</f>
        <v>43832</v>
      </c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6"/>
      <c r="AI6" s="104"/>
      <c r="AJ6" s="105"/>
      <c r="AK6" s="105"/>
      <c r="AL6" s="105"/>
      <c r="AM6" s="105"/>
      <c r="AN6" s="105"/>
      <c r="AO6" s="105"/>
      <c r="AP6" s="105"/>
      <c r="AQ6" s="107"/>
      <c r="AR6" s="105"/>
      <c r="AS6" s="105"/>
      <c r="AT6" s="107"/>
      <c r="AU6" s="107"/>
      <c r="AV6" s="105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6"/>
      <c r="BN6" s="104"/>
      <c r="BO6" s="105"/>
      <c r="BP6" s="105"/>
      <c r="BQ6" s="105"/>
      <c r="BR6" s="105"/>
      <c r="BS6" s="105"/>
      <c r="BT6" s="105"/>
      <c r="BU6" s="105"/>
      <c r="BV6" s="107"/>
      <c r="BW6" s="105"/>
      <c r="BX6" s="105"/>
      <c r="BY6" s="107"/>
      <c r="BZ6" s="107"/>
      <c r="CA6" s="105"/>
      <c r="CB6" s="107"/>
      <c r="CC6" s="107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6"/>
      <c r="CS6" s="104"/>
      <c r="CT6" s="105"/>
      <c r="CU6" s="105"/>
      <c r="CV6" s="105"/>
      <c r="CW6" s="105"/>
      <c r="CX6" s="105"/>
      <c r="CY6" s="105"/>
      <c r="CZ6" s="105"/>
      <c r="DA6" s="107"/>
      <c r="DB6" s="105"/>
      <c r="DC6" s="105"/>
      <c r="DD6" s="107"/>
      <c r="DE6" s="107"/>
      <c r="DF6" s="105"/>
      <c r="DG6" s="107"/>
      <c r="DH6" s="107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6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</row>
    <row r="7" spans="1:141" ht="13.15" x14ac:dyDescent="0.4">
      <c r="A7" s="74">
        <f t="shared" si="88"/>
        <v>6</v>
      </c>
      <c r="B7" s="74">
        <v>3</v>
      </c>
      <c r="C7" s="99">
        <f>DATE(Jaartal,Template!$B$3,Template!$B7)</f>
        <v>43833</v>
      </c>
      <c r="D7" s="104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6"/>
      <c r="AI7" s="104"/>
      <c r="AJ7" s="105"/>
      <c r="AK7" s="105"/>
      <c r="AL7" s="105"/>
      <c r="AM7" s="105"/>
      <c r="AN7" s="105"/>
      <c r="AO7" s="105"/>
      <c r="AP7" s="105"/>
      <c r="AQ7" s="107"/>
      <c r="AR7" s="105"/>
      <c r="AS7" s="105"/>
      <c r="AT7" s="107"/>
      <c r="AU7" s="107"/>
      <c r="AV7" s="105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6"/>
      <c r="BN7" s="104"/>
      <c r="BO7" s="105"/>
      <c r="BP7" s="105"/>
      <c r="BQ7" s="105"/>
      <c r="BR7" s="105"/>
      <c r="BS7" s="105"/>
      <c r="BT7" s="105"/>
      <c r="BU7" s="105"/>
      <c r="BV7" s="107"/>
      <c r="BW7" s="105"/>
      <c r="BX7" s="105"/>
      <c r="BY7" s="107"/>
      <c r="BZ7" s="107"/>
      <c r="CA7" s="105"/>
      <c r="CB7" s="107"/>
      <c r="CC7" s="107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6"/>
      <c r="CS7" s="104"/>
      <c r="CT7" s="105"/>
      <c r="CU7" s="105"/>
      <c r="CV7" s="105"/>
      <c r="CW7" s="105"/>
      <c r="CX7" s="105"/>
      <c r="CY7" s="105"/>
      <c r="CZ7" s="105"/>
      <c r="DA7" s="107"/>
      <c r="DB7" s="105"/>
      <c r="DC7" s="105"/>
      <c r="DD7" s="107"/>
      <c r="DE7" s="107"/>
      <c r="DF7" s="105"/>
      <c r="DG7" s="107"/>
      <c r="DH7" s="107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6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</row>
    <row r="8" spans="1:141" ht="13.15" x14ac:dyDescent="0.4">
      <c r="A8" s="74">
        <f t="shared" si="88"/>
        <v>7</v>
      </c>
      <c r="B8" s="74">
        <v>4</v>
      </c>
      <c r="C8" s="99">
        <f>DATE(Jaartal,Template!$B$3,Template!$B8)</f>
        <v>43834</v>
      </c>
      <c r="D8" s="104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6"/>
      <c r="AI8" s="104"/>
      <c r="AJ8" s="105"/>
      <c r="AK8" s="105"/>
      <c r="AL8" s="105"/>
      <c r="AM8" s="105"/>
      <c r="AN8" s="105"/>
      <c r="AO8" s="105"/>
      <c r="AP8" s="105"/>
      <c r="AQ8" s="107"/>
      <c r="AR8" s="105"/>
      <c r="AS8" s="105"/>
      <c r="AT8" s="107"/>
      <c r="AU8" s="107"/>
      <c r="AV8" s="105"/>
      <c r="AW8" s="107"/>
      <c r="AX8" s="107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6"/>
      <c r="BN8" s="104"/>
      <c r="BO8" s="105"/>
      <c r="BP8" s="105"/>
      <c r="BQ8" s="105"/>
      <c r="BR8" s="105"/>
      <c r="BS8" s="105"/>
      <c r="BT8" s="105"/>
      <c r="BU8" s="105"/>
      <c r="BV8" s="107"/>
      <c r="BW8" s="105"/>
      <c r="BX8" s="105"/>
      <c r="BY8" s="107"/>
      <c r="BZ8" s="107"/>
      <c r="CA8" s="105"/>
      <c r="CB8" s="107"/>
      <c r="CC8" s="107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6"/>
      <c r="CS8" s="104"/>
      <c r="CT8" s="105"/>
      <c r="CU8" s="105"/>
      <c r="CV8" s="105"/>
      <c r="CW8" s="105"/>
      <c r="CX8" s="105"/>
      <c r="CY8" s="105"/>
      <c r="CZ8" s="105"/>
      <c r="DA8" s="107"/>
      <c r="DB8" s="105"/>
      <c r="DC8" s="105"/>
      <c r="DD8" s="107"/>
      <c r="DE8" s="107"/>
      <c r="DF8" s="105"/>
      <c r="DG8" s="107"/>
      <c r="DH8" s="107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/>
      <c r="DT8" s="107"/>
      <c r="DU8" s="107"/>
      <c r="DV8" s="107"/>
      <c r="DW8" s="106"/>
      <c r="DX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</row>
    <row r="9" spans="1:141" ht="13.15" x14ac:dyDescent="0.4">
      <c r="A9" s="74">
        <f t="shared" si="88"/>
        <v>1</v>
      </c>
      <c r="B9" s="74">
        <v>5</v>
      </c>
      <c r="C9" s="99">
        <f>DATE(Jaartal,Template!$B$3,Template!$B9)</f>
        <v>43835</v>
      </c>
      <c r="D9" s="104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6"/>
      <c r="AI9" s="104"/>
      <c r="AJ9" s="105"/>
      <c r="AK9" s="105"/>
      <c r="AL9" s="105"/>
      <c r="AM9" s="105"/>
      <c r="AN9" s="105"/>
      <c r="AO9" s="105"/>
      <c r="AP9" s="105"/>
      <c r="AQ9" s="107"/>
      <c r="AR9" s="105"/>
      <c r="AS9" s="105"/>
      <c r="AT9" s="107"/>
      <c r="AU9" s="107"/>
      <c r="AV9" s="105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6"/>
      <c r="BN9" s="104"/>
      <c r="BO9" s="105"/>
      <c r="BP9" s="105"/>
      <c r="BQ9" s="105"/>
      <c r="BR9" s="105"/>
      <c r="BS9" s="105"/>
      <c r="BT9" s="105"/>
      <c r="BU9" s="105"/>
      <c r="BV9" s="107"/>
      <c r="BW9" s="105"/>
      <c r="BX9" s="105"/>
      <c r="BY9" s="107"/>
      <c r="BZ9" s="107"/>
      <c r="CA9" s="105"/>
      <c r="CB9" s="107"/>
      <c r="CC9" s="107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6"/>
      <c r="CS9" s="104"/>
      <c r="CT9" s="105"/>
      <c r="CU9" s="105"/>
      <c r="CV9" s="105"/>
      <c r="CW9" s="105"/>
      <c r="CX9" s="105"/>
      <c r="CY9" s="105"/>
      <c r="CZ9" s="105"/>
      <c r="DA9" s="107"/>
      <c r="DB9" s="105"/>
      <c r="DC9" s="105"/>
      <c r="DD9" s="107"/>
      <c r="DE9" s="107"/>
      <c r="DF9" s="105"/>
      <c r="DG9" s="107"/>
      <c r="DH9" s="107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6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</row>
    <row r="10" spans="1:141" ht="13.15" x14ac:dyDescent="0.4">
      <c r="A10" s="74">
        <f t="shared" si="88"/>
        <v>2</v>
      </c>
      <c r="B10" s="74">
        <v>6</v>
      </c>
      <c r="C10" s="99">
        <f>DATE(Jaartal,Template!$B$3,Template!$B10)</f>
        <v>43836</v>
      </c>
      <c r="D10" s="104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6"/>
      <c r="AI10" s="104"/>
      <c r="AJ10" s="105"/>
      <c r="AK10" s="105"/>
      <c r="AL10" s="105"/>
      <c r="AM10" s="105"/>
      <c r="AN10" s="105"/>
      <c r="AO10" s="105"/>
      <c r="AP10" s="105"/>
      <c r="AQ10" s="107"/>
      <c r="AR10" s="105"/>
      <c r="AS10" s="105"/>
      <c r="AT10" s="107"/>
      <c r="AU10" s="107"/>
      <c r="AV10" s="105"/>
      <c r="AW10" s="107"/>
      <c r="AX10" s="107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6"/>
      <c r="BN10" s="104"/>
      <c r="BO10" s="105"/>
      <c r="BP10" s="105"/>
      <c r="BQ10" s="105"/>
      <c r="BR10" s="105"/>
      <c r="BS10" s="105"/>
      <c r="BT10" s="105"/>
      <c r="BU10" s="105"/>
      <c r="BV10" s="107"/>
      <c r="BW10" s="105"/>
      <c r="BX10" s="105"/>
      <c r="BY10" s="107"/>
      <c r="BZ10" s="107"/>
      <c r="CA10" s="105"/>
      <c r="CB10" s="107"/>
      <c r="CC10" s="107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6"/>
      <c r="CS10" s="104"/>
      <c r="CT10" s="105"/>
      <c r="CU10" s="105"/>
      <c r="CV10" s="105"/>
      <c r="CW10" s="105"/>
      <c r="CX10" s="105"/>
      <c r="CY10" s="105"/>
      <c r="CZ10" s="105"/>
      <c r="DA10" s="107"/>
      <c r="DB10" s="105"/>
      <c r="DC10" s="105"/>
      <c r="DD10" s="107"/>
      <c r="DE10" s="107"/>
      <c r="DF10" s="105"/>
      <c r="DG10" s="107"/>
      <c r="DH10" s="107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6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</row>
    <row r="11" spans="1:141" ht="13.15" x14ac:dyDescent="0.4">
      <c r="A11" s="74">
        <f t="shared" si="88"/>
        <v>3</v>
      </c>
      <c r="B11" s="74">
        <v>7</v>
      </c>
      <c r="C11" s="99">
        <f>DATE(Jaartal,Template!$B$3,Template!$B11)</f>
        <v>43837</v>
      </c>
      <c r="D11" s="104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6"/>
      <c r="AI11" s="104"/>
      <c r="AJ11" s="105"/>
      <c r="AK11" s="105"/>
      <c r="AL11" s="105"/>
      <c r="AM11" s="105"/>
      <c r="AN11" s="105"/>
      <c r="AO11" s="105"/>
      <c r="AP11" s="105"/>
      <c r="AQ11" s="107"/>
      <c r="AR11" s="105"/>
      <c r="AS11" s="105"/>
      <c r="AT11" s="107"/>
      <c r="AU11" s="107"/>
      <c r="AV11" s="105"/>
      <c r="AW11" s="107"/>
      <c r="AX11" s="107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6"/>
      <c r="BN11" s="104"/>
      <c r="BO11" s="105"/>
      <c r="BP11" s="105"/>
      <c r="BQ11" s="105"/>
      <c r="BR11" s="105"/>
      <c r="BS11" s="105"/>
      <c r="BT11" s="105"/>
      <c r="BU11" s="105"/>
      <c r="BV11" s="107"/>
      <c r="BW11" s="105"/>
      <c r="BX11" s="105"/>
      <c r="BY11" s="107"/>
      <c r="BZ11" s="107"/>
      <c r="CA11" s="105"/>
      <c r="CB11" s="107"/>
      <c r="CC11" s="107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6"/>
      <c r="CS11" s="104"/>
      <c r="CT11" s="105"/>
      <c r="CU11" s="105"/>
      <c r="CV11" s="105"/>
      <c r="CW11" s="105"/>
      <c r="CX11" s="105"/>
      <c r="CY11" s="105"/>
      <c r="CZ11" s="105"/>
      <c r="DA11" s="107"/>
      <c r="DB11" s="105"/>
      <c r="DC11" s="105"/>
      <c r="DD11" s="107"/>
      <c r="DE11" s="107"/>
      <c r="DF11" s="105"/>
      <c r="DG11" s="107"/>
      <c r="DH11" s="107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6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</row>
    <row r="12" spans="1:141" ht="13.15" x14ac:dyDescent="0.4">
      <c r="A12" s="74">
        <f t="shared" si="88"/>
        <v>4</v>
      </c>
      <c r="B12" s="74">
        <v>8</v>
      </c>
      <c r="C12" s="99">
        <f>DATE(Jaartal,Template!$B$3,Template!$B12)</f>
        <v>43838</v>
      </c>
      <c r="D12" s="104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6"/>
      <c r="AI12" s="104"/>
      <c r="AJ12" s="105"/>
      <c r="AK12" s="105"/>
      <c r="AL12" s="105"/>
      <c r="AM12" s="105"/>
      <c r="AN12" s="105"/>
      <c r="AO12" s="105"/>
      <c r="AP12" s="105"/>
      <c r="AQ12" s="107"/>
      <c r="AR12" s="105"/>
      <c r="AS12" s="105"/>
      <c r="AT12" s="107"/>
      <c r="AU12" s="107"/>
      <c r="AV12" s="105"/>
      <c r="AW12" s="107"/>
      <c r="AX12" s="107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6"/>
      <c r="BN12" s="104"/>
      <c r="BO12" s="105"/>
      <c r="BP12" s="105"/>
      <c r="BQ12" s="105"/>
      <c r="BR12" s="105"/>
      <c r="BS12" s="105"/>
      <c r="BT12" s="105"/>
      <c r="BU12" s="105"/>
      <c r="BV12" s="107"/>
      <c r="BW12" s="105"/>
      <c r="BX12" s="105"/>
      <c r="BY12" s="107"/>
      <c r="BZ12" s="107"/>
      <c r="CA12" s="105"/>
      <c r="CB12" s="107"/>
      <c r="CC12" s="107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6"/>
      <c r="CS12" s="104"/>
      <c r="CT12" s="105"/>
      <c r="CU12" s="105"/>
      <c r="CV12" s="105"/>
      <c r="CW12" s="105"/>
      <c r="CX12" s="105"/>
      <c r="CY12" s="105"/>
      <c r="CZ12" s="105"/>
      <c r="DA12" s="107"/>
      <c r="DB12" s="105"/>
      <c r="DC12" s="105"/>
      <c r="DD12" s="107"/>
      <c r="DE12" s="107"/>
      <c r="DF12" s="105"/>
      <c r="DG12" s="107"/>
      <c r="DH12" s="107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6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</row>
    <row r="13" spans="1:141" ht="13.15" x14ac:dyDescent="0.4">
      <c r="A13" s="74">
        <f t="shared" si="88"/>
        <v>5</v>
      </c>
      <c r="B13" s="74">
        <v>9</v>
      </c>
      <c r="C13" s="99">
        <f>DATE(Jaartal,Template!$B$3,Template!$B13)</f>
        <v>43839</v>
      </c>
      <c r="D13" s="104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6"/>
      <c r="AI13" s="104"/>
      <c r="AJ13" s="105"/>
      <c r="AK13" s="105"/>
      <c r="AL13" s="105"/>
      <c r="AM13" s="105"/>
      <c r="AN13" s="105"/>
      <c r="AO13" s="105"/>
      <c r="AP13" s="105"/>
      <c r="AQ13" s="107"/>
      <c r="AR13" s="105"/>
      <c r="AS13" s="105"/>
      <c r="AT13" s="107"/>
      <c r="AU13" s="107"/>
      <c r="AV13" s="105"/>
      <c r="AW13" s="107"/>
      <c r="AX13" s="107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6"/>
      <c r="BN13" s="104"/>
      <c r="BO13" s="105"/>
      <c r="BP13" s="105"/>
      <c r="BQ13" s="105"/>
      <c r="BR13" s="105"/>
      <c r="BS13" s="105"/>
      <c r="BT13" s="105"/>
      <c r="BU13" s="105"/>
      <c r="BV13" s="107"/>
      <c r="BW13" s="105"/>
      <c r="BX13" s="105"/>
      <c r="BY13" s="107"/>
      <c r="BZ13" s="107"/>
      <c r="CA13" s="105"/>
      <c r="CB13" s="107"/>
      <c r="CC13" s="107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6"/>
      <c r="CS13" s="104"/>
      <c r="CT13" s="105"/>
      <c r="CU13" s="105"/>
      <c r="CV13" s="105"/>
      <c r="CW13" s="105"/>
      <c r="CX13" s="105"/>
      <c r="CY13" s="105"/>
      <c r="CZ13" s="105"/>
      <c r="DA13" s="107"/>
      <c r="DB13" s="105"/>
      <c r="DC13" s="105"/>
      <c r="DD13" s="107"/>
      <c r="DE13" s="107"/>
      <c r="DF13" s="105"/>
      <c r="DG13" s="107"/>
      <c r="DH13" s="107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6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</row>
    <row r="14" spans="1:141" ht="13.15" x14ac:dyDescent="0.4">
      <c r="A14" s="74">
        <f t="shared" si="88"/>
        <v>6</v>
      </c>
      <c r="B14" s="74">
        <v>10</v>
      </c>
      <c r="C14" s="99">
        <f>DATE(Jaartal,Template!$B$3,Template!$B14)</f>
        <v>43840</v>
      </c>
      <c r="D14" s="104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6"/>
      <c r="AI14" s="104"/>
      <c r="AJ14" s="105"/>
      <c r="AK14" s="105"/>
      <c r="AL14" s="105"/>
      <c r="AM14" s="105"/>
      <c r="AN14" s="105"/>
      <c r="AO14" s="105"/>
      <c r="AP14" s="105"/>
      <c r="AQ14" s="107"/>
      <c r="AR14" s="105"/>
      <c r="AS14" s="105"/>
      <c r="AT14" s="107"/>
      <c r="AU14" s="107"/>
      <c r="AV14" s="105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6"/>
      <c r="BN14" s="104"/>
      <c r="BO14" s="105"/>
      <c r="BP14" s="105"/>
      <c r="BQ14" s="105"/>
      <c r="BR14" s="105"/>
      <c r="BS14" s="105"/>
      <c r="BT14" s="105"/>
      <c r="BU14" s="105"/>
      <c r="BV14" s="107"/>
      <c r="BW14" s="105"/>
      <c r="BX14" s="105"/>
      <c r="BY14" s="107"/>
      <c r="BZ14" s="107"/>
      <c r="CA14" s="105"/>
      <c r="CB14" s="107"/>
      <c r="CC14" s="107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6"/>
      <c r="CS14" s="104"/>
      <c r="CT14" s="105"/>
      <c r="CU14" s="105"/>
      <c r="CV14" s="105"/>
      <c r="CW14" s="105"/>
      <c r="CX14" s="105"/>
      <c r="CY14" s="105"/>
      <c r="CZ14" s="105"/>
      <c r="DA14" s="107"/>
      <c r="DB14" s="105"/>
      <c r="DC14" s="105"/>
      <c r="DD14" s="107"/>
      <c r="DE14" s="107"/>
      <c r="DF14" s="105"/>
      <c r="DG14" s="107"/>
      <c r="DH14" s="107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6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</row>
    <row r="15" spans="1:141" ht="13.15" x14ac:dyDescent="0.4">
      <c r="A15" s="74">
        <f t="shared" si="88"/>
        <v>7</v>
      </c>
      <c r="B15" s="74">
        <v>11</v>
      </c>
      <c r="C15" s="99">
        <f>DATE(Jaartal,Template!$B$3,Template!$B15)</f>
        <v>43841</v>
      </c>
      <c r="D15" s="104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6"/>
      <c r="AI15" s="104"/>
      <c r="AJ15" s="105"/>
      <c r="AK15" s="105"/>
      <c r="AL15" s="105"/>
      <c r="AM15" s="105"/>
      <c r="AN15" s="105"/>
      <c r="AO15" s="105"/>
      <c r="AP15" s="105"/>
      <c r="AQ15" s="107"/>
      <c r="AR15" s="105"/>
      <c r="AS15" s="105"/>
      <c r="AT15" s="107"/>
      <c r="AU15" s="107"/>
      <c r="AV15" s="105"/>
      <c r="AW15" s="107"/>
      <c r="AX15" s="107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6"/>
      <c r="BN15" s="104"/>
      <c r="BO15" s="105"/>
      <c r="BP15" s="105"/>
      <c r="BQ15" s="105"/>
      <c r="BR15" s="105"/>
      <c r="BS15" s="105"/>
      <c r="BT15" s="105"/>
      <c r="BU15" s="105"/>
      <c r="BV15" s="107"/>
      <c r="BW15" s="105"/>
      <c r="BX15" s="105"/>
      <c r="BY15" s="107"/>
      <c r="BZ15" s="107"/>
      <c r="CA15" s="105"/>
      <c r="CB15" s="107"/>
      <c r="CC15" s="107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6"/>
      <c r="CS15" s="104"/>
      <c r="CT15" s="105"/>
      <c r="CU15" s="105"/>
      <c r="CV15" s="105"/>
      <c r="CW15" s="105"/>
      <c r="CX15" s="105"/>
      <c r="CY15" s="105"/>
      <c r="CZ15" s="105"/>
      <c r="DA15" s="107"/>
      <c r="DB15" s="105"/>
      <c r="DC15" s="105"/>
      <c r="DD15" s="107"/>
      <c r="DE15" s="107"/>
      <c r="DF15" s="105"/>
      <c r="DG15" s="107"/>
      <c r="DH15" s="107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6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</row>
    <row r="16" spans="1:141" ht="13.15" x14ac:dyDescent="0.4">
      <c r="A16" s="74">
        <f t="shared" si="88"/>
        <v>1</v>
      </c>
      <c r="B16" s="74">
        <v>12</v>
      </c>
      <c r="C16" s="99">
        <f>DATE(Jaartal,Template!$B$3,Template!$B16)</f>
        <v>43842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6"/>
      <c r="AI16" s="104"/>
      <c r="AJ16" s="105"/>
      <c r="AK16" s="105"/>
      <c r="AL16" s="105"/>
      <c r="AM16" s="105"/>
      <c r="AN16" s="105"/>
      <c r="AO16" s="105"/>
      <c r="AP16" s="105"/>
      <c r="AQ16" s="107"/>
      <c r="AR16" s="105"/>
      <c r="AS16" s="105"/>
      <c r="AT16" s="107"/>
      <c r="AU16" s="107"/>
      <c r="AV16" s="105"/>
      <c r="AW16" s="107"/>
      <c r="AX16" s="107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6"/>
      <c r="BN16" s="104"/>
      <c r="BO16" s="105"/>
      <c r="BP16" s="105"/>
      <c r="BQ16" s="105"/>
      <c r="BR16" s="105"/>
      <c r="BS16" s="105"/>
      <c r="BT16" s="105"/>
      <c r="BU16" s="105"/>
      <c r="BV16" s="107"/>
      <c r="BW16" s="105"/>
      <c r="BX16" s="105"/>
      <c r="BY16" s="107"/>
      <c r="BZ16" s="107"/>
      <c r="CA16" s="105"/>
      <c r="CB16" s="107"/>
      <c r="CC16" s="107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6"/>
      <c r="CS16" s="104"/>
      <c r="CT16" s="105"/>
      <c r="CU16" s="105"/>
      <c r="CV16" s="105"/>
      <c r="CW16" s="105"/>
      <c r="CX16" s="105"/>
      <c r="CY16" s="105"/>
      <c r="CZ16" s="105"/>
      <c r="DA16" s="107"/>
      <c r="DB16" s="105"/>
      <c r="DC16" s="105"/>
      <c r="DD16" s="107"/>
      <c r="DE16" s="107"/>
      <c r="DF16" s="105"/>
      <c r="DG16" s="107"/>
      <c r="DH16" s="107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6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</row>
    <row r="17" spans="1:141" ht="13.15" x14ac:dyDescent="0.4">
      <c r="A17" s="74">
        <f t="shared" si="88"/>
        <v>2</v>
      </c>
      <c r="B17" s="74">
        <v>13</v>
      </c>
      <c r="C17" s="99">
        <f>DATE(Jaartal,Template!$B$3,Template!$B17)</f>
        <v>43843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6"/>
      <c r="AI17" s="104"/>
      <c r="AJ17" s="105"/>
      <c r="AK17" s="105"/>
      <c r="AL17" s="105"/>
      <c r="AM17" s="105"/>
      <c r="AN17" s="105"/>
      <c r="AO17" s="105"/>
      <c r="AP17" s="105"/>
      <c r="AQ17" s="107"/>
      <c r="AR17" s="105"/>
      <c r="AS17" s="105"/>
      <c r="AT17" s="107"/>
      <c r="AU17" s="107"/>
      <c r="AV17" s="105"/>
      <c r="AW17" s="107"/>
      <c r="AX17" s="107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6"/>
      <c r="BN17" s="104"/>
      <c r="BO17" s="105"/>
      <c r="BP17" s="105"/>
      <c r="BQ17" s="105"/>
      <c r="BR17" s="105"/>
      <c r="BS17" s="105"/>
      <c r="BT17" s="105"/>
      <c r="BU17" s="105"/>
      <c r="BV17" s="107"/>
      <c r="BW17" s="105"/>
      <c r="BX17" s="105"/>
      <c r="BY17" s="107"/>
      <c r="BZ17" s="107"/>
      <c r="CA17" s="105"/>
      <c r="CB17" s="107"/>
      <c r="CC17" s="107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6"/>
      <c r="CS17" s="104"/>
      <c r="CT17" s="105"/>
      <c r="CU17" s="105"/>
      <c r="CV17" s="105"/>
      <c r="CW17" s="105"/>
      <c r="CX17" s="105"/>
      <c r="CY17" s="105"/>
      <c r="CZ17" s="105"/>
      <c r="DA17" s="107"/>
      <c r="DB17" s="105"/>
      <c r="DC17" s="105"/>
      <c r="DD17" s="107"/>
      <c r="DE17" s="107"/>
      <c r="DF17" s="105"/>
      <c r="DG17" s="107"/>
      <c r="DH17" s="107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6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</row>
    <row r="18" spans="1:141" ht="13.15" x14ac:dyDescent="0.4">
      <c r="A18" s="74">
        <f t="shared" si="88"/>
        <v>3</v>
      </c>
      <c r="B18" s="74">
        <v>14</v>
      </c>
      <c r="C18" s="99">
        <f>DATE(Jaartal,Template!$B$3,Template!$B18)</f>
        <v>43844</v>
      </c>
      <c r="D18" s="104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105"/>
      <c r="AH18" s="106"/>
      <c r="AI18" s="104"/>
      <c r="AJ18" s="105"/>
      <c r="AK18" s="105"/>
      <c r="AL18" s="105"/>
      <c r="AM18" s="105"/>
      <c r="AN18" s="105"/>
      <c r="AO18" s="105"/>
      <c r="AP18" s="105"/>
      <c r="AQ18" s="107"/>
      <c r="AR18" s="105"/>
      <c r="AS18" s="105"/>
      <c r="AT18" s="107"/>
      <c r="AU18" s="107"/>
      <c r="AV18" s="105"/>
      <c r="AW18" s="107"/>
      <c r="AX18" s="107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6"/>
      <c r="BN18" s="104"/>
      <c r="BO18" s="105"/>
      <c r="BP18" s="105"/>
      <c r="BQ18" s="105"/>
      <c r="BR18" s="105"/>
      <c r="BS18" s="105"/>
      <c r="BT18" s="105"/>
      <c r="BU18" s="105"/>
      <c r="BV18" s="107"/>
      <c r="BW18" s="105"/>
      <c r="BX18" s="105"/>
      <c r="BY18" s="107"/>
      <c r="BZ18" s="107"/>
      <c r="CA18" s="105"/>
      <c r="CB18" s="107"/>
      <c r="CC18" s="107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6"/>
      <c r="CS18" s="104"/>
      <c r="CT18" s="105"/>
      <c r="CU18" s="105"/>
      <c r="CV18" s="105"/>
      <c r="CW18" s="105"/>
      <c r="CX18" s="105"/>
      <c r="CY18" s="105"/>
      <c r="CZ18" s="105"/>
      <c r="DA18" s="107"/>
      <c r="DB18" s="105"/>
      <c r="DC18" s="105"/>
      <c r="DD18" s="107"/>
      <c r="DE18" s="107"/>
      <c r="DF18" s="105"/>
      <c r="DG18" s="107"/>
      <c r="DH18" s="107"/>
      <c r="DI18" s="107"/>
      <c r="DJ18" s="107"/>
      <c r="DK18" s="107"/>
      <c r="DL18" s="107"/>
      <c r="DM18" s="107"/>
      <c r="DN18" s="107"/>
      <c r="DO18" s="107"/>
      <c r="DP18" s="107"/>
      <c r="DQ18" s="107"/>
      <c r="DR18" s="107"/>
      <c r="DS18" s="107"/>
      <c r="DT18" s="107"/>
      <c r="DU18" s="107"/>
      <c r="DV18" s="107"/>
      <c r="DW18" s="106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</row>
    <row r="19" spans="1:141" ht="13.15" x14ac:dyDescent="0.4">
      <c r="A19" s="74">
        <f t="shared" si="88"/>
        <v>4</v>
      </c>
      <c r="B19" s="74">
        <v>15</v>
      </c>
      <c r="C19" s="99">
        <f>DATE(Jaartal,Template!$B$3,Template!$B19)</f>
        <v>43845</v>
      </c>
      <c r="D19" s="104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6"/>
      <c r="AI19" s="104"/>
      <c r="AJ19" s="105"/>
      <c r="AK19" s="105"/>
      <c r="AL19" s="105"/>
      <c r="AM19" s="105"/>
      <c r="AN19" s="105"/>
      <c r="AO19" s="105"/>
      <c r="AP19" s="105"/>
      <c r="AQ19" s="107"/>
      <c r="AR19" s="105"/>
      <c r="AS19" s="105"/>
      <c r="AT19" s="107"/>
      <c r="AU19" s="107"/>
      <c r="AV19" s="105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6"/>
      <c r="BN19" s="104"/>
      <c r="BO19" s="105"/>
      <c r="BP19" s="105"/>
      <c r="BQ19" s="105"/>
      <c r="BR19" s="105"/>
      <c r="BS19" s="105"/>
      <c r="BT19" s="105"/>
      <c r="BU19" s="105"/>
      <c r="BV19" s="107"/>
      <c r="BW19" s="105"/>
      <c r="BX19" s="105"/>
      <c r="BY19" s="107"/>
      <c r="BZ19" s="107"/>
      <c r="CA19" s="105"/>
      <c r="CB19" s="107"/>
      <c r="CC19" s="107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6"/>
      <c r="CS19" s="104"/>
      <c r="CT19" s="105"/>
      <c r="CU19" s="105"/>
      <c r="CV19" s="105"/>
      <c r="CW19" s="105"/>
      <c r="CX19" s="105"/>
      <c r="CY19" s="105"/>
      <c r="CZ19" s="105"/>
      <c r="DA19" s="107"/>
      <c r="DB19" s="105"/>
      <c r="DC19" s="105"/>
      <c r="DD19" s="107"/>
      <c r="DE19" s="107"/>
      <c r="DF19" s="105"/>
      <c r="DG19" s="107"/>
      <c r="DH19" s="107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6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</row>
    <row r="20" spans="1:141" ht="13.15" x14ac:dyDescent="0.4">
      <c r="A20" s="74">
        <f t="shared" si="88"/>
        <v>5</v>
      </c>
      <c r="B20" s="74">
        <v>16</v>
      </c>
      <c r="C20" s="99">
        <f>DATE(Jaartal,Template!$B$3,Template!$B20)</f>
        <v>43846</v>
      </c>
      <c r="D20" s="104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6"/>
      <c r="AI20" s="104"/>
      <c r="AJ20" s="105"/>
      <c r="AK20" s="105"/>
      <c r="AL20" s="105"/>
      <c r="AM20" s="105"/>
      <c r="AN20" s="105"/>
      <c r="AO20" s="105"/>
      <c r="AP20" s="105"/>
      <c r="AQ20" s="107"/>
      <c r="AR20" s="105"/>
      <c r="AS20" s="105"/>
      <c r="AT20" s="107"/>
      <c r="AU20" s="107"/>
      <c r="AV20" s="105"/>
      <c r="AW20" s="107"/>
      <c r="AX20" s="107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6"/>
      <c r="BN20" s="104"/>
      <c r="BO20" s="105"/>
      <c r="BP20" s="105"/>
      <c r="BQ20" s="105"/>
      <c r="BR20" s="105"/>
      <c r="BS20" s="105"/>
      <c r="BT20" s="105"/>
      <c r="BU20" s="105"/>
      <c r="BV20" s="107"/>
      <c r="BW20" s="105"/>
      <c r="BX20" s="105"/>
      <c r="BY20" s="107"/>
      <c r="BZ20" s="107"/>
      <c r="CA20" s="105"/>
      <c r="CB20" s="107"/>
      <c r="CC20" s="107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6"/>
      <c r="CS20" s="104"/>
      <c r="CT20" s="105"/>
      <c r="CU20" s="105"/>
      <c r="CV20" s="105"/>
      <c r="CW20" s="105"/>
      <c r="CX20" s="105"/>
      <c r="CY20" s="105"/>
      <c r="CZ20" s="105"/>
      <c r="DA20" s="107"/>
      <c r="DB20" s="105"/>
      <c r="DC20" s="105"/>
      <c r="DD20" s="107"/>
      <c r="DE20" s="107"/>
      <c r="DF20" s="105"/>
      <c r="DG20" s="107"/>
      <c r="DH20" s="107"/>
      <c r="DI20" s="107"/>
      <c r="DJ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U20" s="107"/>
      <c r="DV20" s="107"/>
      <c r="DW20" s="106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</row>
    <row r="21" spans="1:141" ht="13.15" x14ac:dyDescent="0.4">
      <c r="A21" s="74">
        <f t="shared" si="88"/>
        <v>6</v>
      </c>
      <c r="B21" s="74">
        <v>17</v>
      </c>
      <c r="C21" s="99">
        <f>DATE(Jaartal,Template!$B$3,Template!$B21)</f>
        <v>43847</v>
      </c>
      <c r="D21" s="104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6"/>
      <c r="AI21" s="104"/>
      <c r="AJ21" s="105"/>
      <c r="AK21" s="105"/>
      <c r="AL21" s="105"/>
      <c r="AM21" s="105"/>
      <c r="AN21" s="105"/>
      <c r="AO21" s="105"/>
      <c r="AP21" s="105"/>
      <c r="AQ21" s="107"/>
      <c r="AR21" s="105"/>
      <c r="AS21" s="105"/>
      <c r="AT21" s="107"/>
      <c r="AU21" s="107"/>
      <c r="AV21" s="105"/>
      <c r="AW21" s="107"/>
      <c r="AX21" s="107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6"/>
      <c r="BN21" s="104"/>
      <c r="BO21" s="105"/>
      <c r="BP21" s="105"/>
      <c r="BQ21" s="105"/>
      <c r="BR21" s="105"/>
      <c r="BS21" s="105"/>
      <c r="BT21" s="105"/>
      <c r="BU21" s="105"/>
      <c r="BV21" s="107"/>
      <c r="BW21" s="105"/>
      <c r="BX21" s="105"/>
      <c r="BY21" s="107"/>
      <c r="BZ21" s="107"/>
      <c r="CA21" s="105"/>
      <c r="CB21" s="107"/>
      <c r="CC21" s="107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6"/>
      <c r="CS21" s="104"/>
      <c r="CT21" s="105"/>
      <c r="CU21" s="105"/>
      <c r="CV21" s="105"/>
      <c r="CW21" s="105"/>
      <c r="CX21" s="105"/>
      <c r="CY21" s="105"/>
      <c r="CZ21" s="105"/>
      <c r="DA21" s="107"/>
      <c r="DB21" s="105"/>
      <c r="DC21" s="105"/>
      <c r="DD21" s="107"/>
      <c r="DE21" s="107"/>
      <c r="DF21" s="105"/>
      <c r="DG21" s="107"/>
      <c r="DH21" s="107"/>
      <c r="DI21" s="107"/>
      <c r="DJ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U21" s="107"/>
      <c r="DV21" s="107"/>
      <c r="DW21" s="106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</row>
    <row r="22" spans="1:141" ht="13.15" x14ac:dyDescent="0.4">
      <c r="A22" s="74">
        <f t="shared" si="88"/>
        <v>7</v>
      </c>
      <c r="B22" s="74">
        <v>18</v>
      </c>
      <c r="C22" s="99">
        <f>DATE(Jaartal,Template!$B$3,Template!$B22)</f>
        <v>43848</v>
      </c>
      <c r="D22" s="104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6"/>
      <c r="AI22" s="104"/>
      <c r="AJ22" s="105"/>
      <c r="AK22" s="105"/>
      <c r="AL22" s="105"/>
      <c r="AM22" s="105"/>
      <c r="AN22" s="105"/>
      <c r="AO22" s="105"/>
      <c r="AP22" s="105"/>
      <c r="AQ22" s="107"/>
      <c r="AR22" s="105"/>
      <c r="AS22" s="105"/>
      <c r="AT22" s="107"/>
      <c r="AU22" s="107"/>
      <c r="AV22" s="105"/>
      <c r="AW22" s="107"/>
      <c r="AX22" s="107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6"/>
      <c r="BN22" s="104"/>
      <c r="BO22" s="105"/>
      <c r="BP22" s="105"/>
      <c r="BQ22" s="105"/>
      <c r="BR22" s="105"/>
      <c r="BS22" s="105"/>
      <c r="BT22" s="105"/>
      <c r="BU22" s="105"/>
      <c r="BV22" s="107"/>
      <c r="BW22" s="105"/>
      <c r="BX22" s="105"/>
      <c r="BY22" s="107"/>
      <c r="BZ22" s="107"/>
      <c r="CA22" s="105"/>
      <c r="CB22" s="107"/>
      <c r="CC22" s="107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6"/>
      <c r="CS22" s="104"/>
      <c r="CT22" s="105"/>
      <c r="CU22" s="105"/>
      <c r="CV22" s="105"/>
      <c r="CW22" s="105"/>
      <c r="CX22" s="105"/>
      <c r="CY22" s="105"/>
      <c r="CZ22" s="105"/>
      <c r="DA22" s="107"/>
      <c r="DB22" s="105"/>
      <c r="DC22" s="105"/>
      <c r="DD22" s="107"/>
      <c r="DE22" s="107"/>
      <c r="DF22" s="105"/>
      <c r="DG22" s="107"/>
      <c r="DH22" s="107"/>
      <c r="DI22" s="107"/>
      <c r="DJ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U22" s="107"/>
      <c r="DV22" s="107"/>
      <c r="DW22" s="106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</row>
    <row r="23" spans="1:141" ht="13.15" x14ac:dyDescent="0.4">
      <c r="A23" s="74">
        <f t="shared" si="88"/>
        <v>1</v>
      </c>
      <c r="B23" s="74">
        <v>19</v>
      </c>
      <c r="C23" s="99">
        <f>DATE(Jaartal,Template!$B$3,Template!$B23)</f>
        <v>43849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6"/>
      <c r="AI23" s="104"/>
      <c r="AJ23" s="105"/>
      <c r="AK23" s="105"/>
      <c r="AL23" s="105"/>
      <c r="AM23" s="105"/>
      <c r="AN23" s="105"/>
      <c r="AO23" s="105"/>
      <c r="AP23" s="105"/>
      <c r="AQ23" s="107"/>
      <c r="AR23" s="105"/>
      <c r="AS23" s="105"/>
      <c r="AT23" s="107"/>
      <c r="AU23" s="107"/>
      <c r="AV23" s="105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6"/>
      <c r="BN23" s="104"/>
      <c r="BO23" s="105"/>
      <c r="BP23" s="105"/>
      <c r="BQ23" s="105"/>
      <c r="BR23" s="105"/>
      <c r="BS23" s="105"/>
      <c r="BT23" s="105"/>
      <c r="BU23" s="105"/>
      <c r="BV23" s="107"/>
      <c r="BW23" s="105"/>
      <c r="BX23" s="105"/>
      <c r="BY23" s="107"/>
      <c r="BZ23" s="107"/>
      <c r="CA23" s="105"/>
      <c r="CB23" s="107"/>
      <c r="CC23" s="107"/>
      <c r="CD23" s="107"/>
      <c r="CE23" s="107"/>
      <c r="CF23" s="107"/>
      <c r="CG23" s="107"/>
      <c r="CH23" s="107"/>
      <c r="CI23" s="107"/>
      <c r="CJ23" s="107"/>
      <c r="CK23" s="107"/>
      <c r="CL23" s="107"/>
      <c r="CM23" s="107"/>
      <c r="CN23" s="107"/>
      <c r="CO23" s="107"/>
      <c r="CP23" s="107"/>
      <c r="CQ23" s="107"/>
      <c r="CR23" s="106"/>
      <c r="CS23" s="104"/>
      <c r="CT23" s="105"/>
      <c r="CU23" s="105"/>
      <c r="CV23" s="105"/>
      <c r="CW23" s="105"/>
      <c r="CX23" s="105"/>
      <c r="CY23" s="105"/>
      <c r="CZ23" s="105"/>
      <c r="DA23" s="107"/>
      <c r="DB23" s="105"/>
      <c r="DC23" s="105"/>
      <c r="DD23" s="107"/>
      <c r="DE23" s="107"/>
      <c r="DF23" s="105"/>
      <c r="DG23" s="107"/>
      <c r="DH23" s="107"/>
      <c r="DI23" s="107"/>
      <c r="DJ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U23" s="107"/>
      <c r="DV23" s="107"/>
      <c r="DW23" s="106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</row>
    <row r="24" spans="1:141" ht="13.15" x14ac:dyDescent="0.4">
      <c r="A24" s="74">
        <f t="shared" si="88"/>
        <v>2</v>
      </c>
      <c r="B24" s="74">
        <v>20</v>
      </c>
      <c r="C24" s="99">
        <f>DATE(Jaartal,Template!$B$3,Template!$B24)</f>
        <v>43850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6"/>
      <c r="AI24" s="104"/>
      <c r="AJ24" s="105"/>
      <c r="AK24" s="105"/>
      <c r="AL24" s="105"/>
      <c r="AM24" s="105"/>
      <c r="AN24" s="105"/>
      <c r="AO24" s="105"/>
      <c r="AP24" s="105"/>
      <c r="AQ24" s="107"/>
      <c r="AR24" s="105"/>
      <c r="AS24" s="105"/>
      <c r="AT24" s="107"/>
      <c r="AU24" s="107"/>
      <c r="AV24" s="105"/>
      <c r="AW24" s="107"/>
      <c r="AX24" s="107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6"/>
      <c r="BN24" s="104"/>
      <c r="BO24" s="105"/>
      <c r="BP24" s="105"/>
      <c r="BQ24" s="105"/>
      <c r="BR24" s="105"/>
      <c r="BS24" s="105"/>
      <c r="BT24" s="105"/>
      <c r="BU24" s="105"/>
      <c r="BV24" s="107"/>
      <c r="BW24" s="105"/>
      <c r="BX24" s="105"/>
      <c r="BY24" s="107"/>
      <c r="BZ24" s="107"/>
      <c r="CA24" s="105"/>
      <c r="CB24" s="107"/>
      <c r="CC24" s="107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6"/>
      <c r="CS24" s="104"/>
      <c r="CT24" s="105"/>
      <c r="CU24" s="105"/>
      <c r="CV24" s="105"/>
      <c r="CW24" s="105"/>
      <c r="CX24" s="105"/>
      <c r="CY24" s="105"/>
      <c r="CZ24" s="105"/>
      <c r="DA24" s="107"/>
      <c r="DB24" s="105"/>
      <c r="DC24" s="105"/>
      <c r="DD24" s="107"/>
      <c r="DE24" s="107"/>
      <c r="DF24" s="105"/>
      <c r="DG24" s="107"/>
      <c r="DH24" s="107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6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</row>
    <row r="25" spans="1:141" ht="13.15" x14ac:dyDescent="0.4">
      <c r="A25" s="74">
        <f t="shared" si="88"/>
        <v>3</v>
      </c>
      <c r="B25" s="74">
        <v>21</v>
      </c>
      <c r="C25" s="99">
        <f>DATE(Jaartal,Template!$B$3,Template!$B25)</f>
        <v>43851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6"/>
      <c r="AI25" s="104"/>
      <c r="AJ25" s="105"/>
      <c r="AK25" s="105"/>
      <c r="AL25" s="105"/>
      <c r="AM25" s="105"/>
      <c r="AN25" s="105"/>
      <c r="AO25" s="105"/>
      <c r="AP25" s="105"/>
      <c r="AQ25" s="107"/>
      <c r="AR25" s="105"/>
      <c r="AS25" s="105"/>
      <c r="AT25" s="107"/>
      <c r="AU25" s="107"/>
      <c r="AV25" s="105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6"/>
      <c r="BN25" s="104"/>
      <c r="BO25" s="105"/>
      <c r="BP25" s="105"/>
      <c r="BQ25" s="105"/>
      <c r="BR25" s="105"/>
      <c r="BS25" s="105"/>
      <c r="BT25" s="105"/>
      <c r="BU25" s="105"/>
      <c r="BV25" s="107"/>
      <c r="BW25" s="105"/>
      <c r="BX25" s="105"/>
      <c r="BY25" s="107"/>
      <c r="BZ25" s="107"/>
      <c r="CA25" s="105"/>
      <c r="CB25" s="107"/>
      <c r="CC25" s="107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6"/>
      <c r="CS25" s="104"/>
      <c r="CT25" s="105"/>
      <c r="CU25" s="105"/>
      <c r="CV25" s="105"/>
      <c r="CW25" s="105"/>
      <c r="CX25" s="105"/>
      <c r="CY25" s="105"/>
      <c r="CZ25" s="105"/>
      <c r="DA25" s="107"/>
      <c r="DB25" s="105"/>
      <c r="DC25" s="105"/>
      <c r="DD25" s="107"/>
      <c r="DE25" s="107"/>
      <c r="DF25" s="105"/>
      <c r="DG25" s="107"/>
      <c r="DH25" s="107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U25" s="107"/>
      <c r="DV25" s="107"/>
      <c r="DW25" s="106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</row>
    <row r="26" spans="1:141" ht="13.15" x14ac:dyDescent="0.4">
      <c r="A26" s="74">
        <f t="shared" si="88"/>
        <v>4</v>
      </c>
      <c r="B26" s="74">
        <v>22</v>
      </c>
      <c r="C26" s="99">
        <f>DATE(Jaartal,Template!$B$3,Template!$B26)</f>
        <v>43852</v>
      </c>
      <c r="D26" s="104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6"/>
      <c r="AI26" s="104"/>
      <c r="AJ26" s="105"/>
      <c r="AK26" s="105"/>
      <c r="AL26" s="105"/>
      <c r="AM26" s="105"/>
      <c r="AN26" s="105"/>
      <c r="AO26" s="105"/>
      <c r="AP26" s="105"/>
      <c r="AQ26" s="107"/>
      <c r="AR26" s="105"/>
      <c r="AS26" s="105"/>
      <c r="AT26" s="107"/>
      <c r="AU26" s="107"/>
      <c r="AV26" s="105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6"/>
      <c r="BN26" s="104"/>
      <c r="BO26" s="105"/>
      <c r="BP26" s="105"/>
      <c r="BQ26" s="105"/>
      <c r="BR26" s="105"/>
      <c r="BS26" s="105"/>
      <c r="BT26" s="105"/>
      <c r="BU26" s="105"/>
      <c r="BV26" s="107"/>
      <c r="BW26" s="105"/>
      <c r="BX26" s="105"/>
      <c r="BY26" s="107"/>
      <c r="BZ26" s="107"/>
      <c r="CA26" s="105"/>
      <c r="CB26" s="107"/>
      <c r="CC26" s="107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6"/>
      <c r="CS26" s="104"/>
      <c r="CT26" s="105"/>
      <c r="CU26" s="105"/>
      <c r="CV26" s="105"/>
      <c r="CW26" s="105"/>
      <c r="CX26" s="105"/>
      <c r="CY26" s="105"/>
      <c r="CZ26" s="105"/>
      <c r="DA26" s="107"/>
      <c r="DB26" s="105"/>
      <c r="DC26" s="105"/>
      <c r="DD26" s="107"/>
      <c r="DE26" s="107"/>
      <c r="DF26" s="105"/>
      <c r="DG26" s="107"/>
      <c r="DH26" s="107"/>
      <c r="DI26" s="107"/>
      <c r="DJ26" s="107"/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U26" s="107"/>
      <c r="DV26" s="107"/>
      <c r="DW26" s="106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</row>
    <row r="27" spans="1:141" ht="13.15" x14ac:dyDescent="0.4">
      <c r="A27" s="74">
        <f t="shared" si="88"/>
        <v>5</v>
      </c>
      <c r="B27" s="74">
        <v>23</v>
      </c>
      <c r="C27" s="99">
        <f>DATE(Jaartal,Template!$B$3,Template!$B27)</f>
        <v>43853</v>
      </c>
      <c r="D27" s="104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6"/>
      <c r="AI27" s="104"/>
      <c r="AJ27" s="105"/>
      <c r="AK27" s="105"/>
      <c r="AL27" s="105"/>
      <c r="AM27" s="105"/>
      <c r="AN27" s="105"/>
      <c r="AO27" s="105"/>
      <c r="AP27" s="105"/>
      <c r="AQ27" s="107"/>
      <c r="AR27" s="105"/>
      <c r="AS27" s="105"/>
      <c r="AT27" s="107"/>
      <c r="AU27" s="107"/>
      <c r="AV27" s="105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6"/>
      <c r="BN27" s="104"/>
      <c r="BO27" s="105"/>
      <c r="BP27" s="105"/>
      <c r="BQ27" s="105"/>
      <c r="BR27" s="105"/>
      <c r="BS27" s="105"/>
      <c r="BT27" s="105"/>
      <c r="BU27" s="105"/>
      <c r="BV27" s="107"/>
      <c r="BW27" s="105"/>
      <c r="BX27" s="105"/>
      <c r="BY27" s="107"/>
      <c r="BZ27" s="107"/>
      <c r="CA27" s="105"/>
      <c r="CB27" s="107"/>
      <c r="CC27" s="107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6"/>
      <c r="CS27" s="104"/>
      <c r="CT27" s="105"/>
      <c r="CU27" s="105"/>
      <c r="CV27" s="105"/>
      <c r="CW27" s="105"/>
      <c r="CX27" s="105"/>
      <c r="CY27" s="105"/>
      <c r="CZ27" s="105"/>
      <c r="DA27" s="107"/>
      <c r="DB27" s="105"/>
      <c r="DC27" s="105"/>
      <c r="DD27" s="107"/>
      <c r="DE27" s="107"/>
      <c r="DF27" s="105"/>
      <c r="DG27" s="107"/>
      <c r="DH27" s="107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U27" s="107"/>
      <c r="DV27" s="107"/>
      <c r="DW27" s="106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</row>
    <row r="28" spans="1:141" ht="13.15" x14ac:dyDescent="0.4">
      <c r="A28" s="74">
        <f t="shared" si="88"/>
        <v>6</v>
      </c>
      <c r="B28" s="74">
        <v>24</v>
      </c>
      <c r="C28" s="99">
        <f>DATE(Jaartal,Template!$B$3,Template!$B28)</f>
        <v>43854</v>
      </c>
      <c r="D28" s="104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6"/>
      <c r="AI28" s="104"/>
      <c r="AJ28" s="105"/>
      <c r="AK28" s="105"/>
      <c r="AL28" s="105"/>
      <c r="AM28" s="105"/>
      <c r="AN28" s="105"/>
      <c r="AO28" s="105"/>
      <c r="AP28" s="105"/>
      <c r="AQ28" s="107"/>
      <c r="AR28" s="105"/>
      <c r="AS28" s="105"/>
      <c r="AT28" s="107"/>
      <c r="AU28" s="107"/>
      <c r="AV28" s="105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6"/>
      <c r="BN28" s="104"/>
      <c r="BO28" s="105"/>
      <c r="BP28" s="105"/>
      <c r="BQ28" s="105"/>
      <c r="BR28" s="105"/>
      <c r="BS28" s="105"/>
      <c r="BT28" s="105"/>
      <c r="BU28" s="105"/>
      <c r="BV28" s="107"/>
      <c r="BW28" s="105"/>
      <c r="BX28" s="105"/>
      <c r="BY28" s="107"/>
      <c r="BZ28" s="107"/>
      <c r="CA28" s="105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6"/>
      <c r="CS28" s="104"/>
      <c r="CT28" s="105"/>
      <c r="CU28" s="105"/>
      <c r="CV28" s="105"/>
      <c r="CW28" s="105"/>
      <c r="CX28" s="105"/>
      <c r="CY28" s="105"/>
      <c r="CZ28" s="105"/>
      <c r="DA28" s="107"/>
      <c r="DB28" s="105"/>
      <c r="DC28" s="105"/>
      <c r="DD28" s="107"/>
      <c r="DE28" s="107"/>
      <c r="DF28" s="105"/>
      <c r="DG28" s="107"/>
      <c r="DH28" s="107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6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</row>
    <row r="29" spans="1:141" ht="13.15" x14ac:dyDescent="0.4">
      <c r="A29" s="74">
        <f t="shared" si="88"/>
        <v>7</v>
      </c>
      <c r="B29" s="74">
        <v>25</v>
      </c>
      <c r="C29" s="99">
        <f>DATE(Jaartal,Template!$B$3,Template!$B29)</f>
        <v>43855</v>
      </c>
      <c r="D29" s="104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6"/>
      <c r="AI29" s="104"/>
      <c r="AJ29" s="105"/>
      <c r="AK29" s="105"/>
      <c r="AL29" s="105"/>
      <c r="AM29" s="105"/>
      <c r="AN29" s="105"/>
      <c r="AO29" s="105"/>
      <c r="AP29" s="105"/>
      <c r="AQ29" s="107"/>
      <c r="AR29" s="105"/>
      <c r="AS29" s="105"/>
      <c r="AT29" s="107"/>
      <c r="AU29" s="107"/>
      <c r="AV29" s="105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6"/>
      <c r="BN29" s="104"/>
      <c r="BO29" s="105"/>
      <c r="BP29" s="105"/>
      <c r="BQ29" s="105"/>
      <c r="BR29" s="105"/>
      <c r="BS29" s="105"/>
      <c r="BT29" s="105"/>
      <c r="BU29" s="105"/>
      <c r="BV29" s="107"/>
      <c r="BW29" s="105"/>
      <c r="BX29" s="105"/>
      <c r="BY29" s="107"/>
      <c r="BZ29" s="107"/>
      <c r="CA29" s="105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6"/>
      <c r="CS29" s="104"/>
      <c r="CT29" s="105"/>
      <c r="CU29" s="105"/>
      <c r="CV29" s="105"/>
      <c r="CW29" s="105"/>
      <c r="CX29" s="105"/>
      <c r="CY29" s="105"/>
      <c r="CZ29" s="105"/>
      <c r="DA29" s="107"/>
      <c r="DB29" s="105"/>
      <c r="DC29" s="105"/>
      <c r="DD29" s="107"/>
      <c r="DE29" s="107"/>
      <c r="DF29" s="105"/>
      <c r="DG29" s="107"/>
      <c r="DH29" s="107"/>
      <c r="DI29" s="107"/>
      <c r="DJ29" s="107"/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U29" s="107"/>
      <c r="DV29" s="107"/>
      <c r="DW29" s="106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</row>
    <row r="30" spans="1:141" ht="13.15" x14ac:dyDescent="0.4">
      <c r="A30" s="74">
        <f t="shared" si="88"/>
        <v>1</v>
      </c>
      <c r="B30" s="74">
        <v>26</v>
      </c>
      <c r="C30" s="99">
        <f>DATE(Jaartal,Template!$B$3,Template!$B30)</f>
        <v>43856</v>
      </c>
      <c r="D30" s="104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6"/>
      <c r="AI30" s="104"/>
      <c r="AJ30" s="105"/>
      <c r="AK30" s="105"/>
      <c r="AL30" s="105"/>
      <c r="AM30" s="105"/>
      <c r="AN30" s="105"/>
      <c r="AO30" s="105"/>
      <c r="AP30" s="105"/>
      <c r="AQ30" s="107"/>
      <c r="AR30" s="105"/>
      <c r="AS30" s="105"/>
      <c r="AT30" s="107"/>
      <c r="AU30" s="107"/>
      <c r="AV30" s="105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6"/>
      <c r="BN30" s="104"/>
      <c r="BO30" s="105"/>
      <c r="BP30" s="105"/>
      <c r="BQ30" s="105"/>
      <c r="BR30" s="105"/>
      <c r="BS30" s="105"/>
      <c r="BT30" s="105"/>
      <c r="BU30" s="105"/>
      <c r="BV30" s="107"/>
      <c r="BW30" s="105"/>
      <c r="BX30" s="105"/>
      <c r="BY30" s="107"/>
      <c r="BZ30" s="107"/>
      <c r="CA30" s="105"/>
      <c r="CB30" s="107"/>
      <c r="CC30" s="107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6"/>
      <c r="CS30" s="104"/>
      <c r="CT30" s="105"/>
      <c r="CU30" s="105"/>
      <c r="CV30" s="105"/>
      <c r="CW30" s="105"/>
      <c r="CX30" s="105"/>
      <c r="CY30" s="105"/>
      <c r="CZ30" s="105"/>
      <c r="DA30" s="107"/>
      <c r="DB30" s="105"/>
      <c r="DC30" s="105"/>
      <c r="DD30" s="107"/>
      <c r="DE30" s="107"/>
      <c r="DF30" s="105"/>
      <c r="DG30" s="107"/>
      <c r="DH30" s="107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U30" s="107"/>
      <c r="DV30" s="107"/>
      <c r="DW30" s="106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</row>
    <row r="31" spans="1:141" ht="13.15" x14ac:dyDescent="0.4">
      <c r="A31" s="74">
        <f t="shared" si="88"/>
        <v>2</v>
      </c>
      <c r="B31" s="74">
        <v>27</v>
      </c>
      <c r="C31" s="99">
        <f>DATE(Jaartal,Template!$B$3,Template!$B31)</f>
        <v>43857</v>
      </c>
      <c r="D31" s="104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6"/>
      <c r="AI31" s="104"/>
      <c r="AJ31" s="105"/>
      <c r="AK31" s="105"/>
      <c r="AL31" s="105"/>
      <c r="AM31" s="105"/>
      <c r="AN31" s="105"/>
      <c r="AO31" s="105"/>
      <c r="AP31" s="105"/>
      <c r="AQ31" s="107"/>
      <c r="AR31" s="105"/>
      <c r="AS31" s="105"/>
      <c r="AT31" s="107"/>
      <c r="AU31" s="107"/>
      <c r="AV31" s="105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6"/>
      <c r="BN31" s="104"/>
      <c r="BO31" s="105"/>
      <c r="BP31" s="105"/>
      <c r="BQ31" s="105"/>
      <c r="BR31" s="105"/>
      <c r="BS31" s="105"/>
      <c r="BT31" s="105"/>
      <c r="BU31" s="105"/>
      <c r="BV31" s="107"/>
      <c r="BW31" s="105"/>
      <c r="BX31" s="105"/>
      <c r="BY31" s="107"/>
      <c r="BZ31" s="107"/>
      <c r="CA31" s="105"/>
      <c r="CB31" s="107"/>
      <c r="CC31" s="107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6"/>
      <c r="CS31" s="104"/>
      <c r="CT31" s="105"/>
      <c r="CU31" s="105"/>
      <c r="CV31" s="105"/>
      <c r="CW31" s="105"/>
      <c r="CX31" s="105"/>
      <c r="CY31" s="105"/>
      <c r="CZ31" s="105"/>
      <c r="DA31" s="107"/>
      <c r="DB31" s="105"/>
      <c r="DC31" s="105"/>
      <c r="DD31" s="107"/>
      <c r="DE31" s="107"/>
      <c r="DF31" s="105"/>
      <c r="DG31" s="107"/>
      <c r="DH31" s="107"/>
      <c r="DI31" s="107"/>
      <c r="DJ31" s="107"/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U31" s="107"/>
      <c r="DV31" s="107"/>
      <c r="DW31" s="106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</row>
    <row r="32" spans="1:141" ht="13.15" x14ac:dyDescent="0.4">
      <c r="A32" s="74">
        <f t="shared" si="88"/>
        <v>3</v>
      </c>
      <c r="B32" s="74">
        <v>28</v>
      </c>
      <c r="C32" s="99">
        <f>DATE(Jaartal,Template!$B$3,Template!$B32)</f>
        <v>43858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6"/>
      <c r="AI32" s="104"/>
      <c r="AJ32" s="105"/>
      <c r="AK32" s="105"/>
      <c r="AL32" s="105"/>
      <c r="AM32" s="105"/>
      <c r="AN32" s="105"/>
      <c r="AO32" s="105"/>
      <c r="AP32" s="105"/>
      <c r="AQ32" s="107"/>
      <c r="AR32" s="105"/>
      <c r="AS32" s="105"/>
      <c r="AT32" s="107"/>
      <c r="AU32" s="107"/>
      <c r="AV32" s="105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6"/>
      <c r="BN32" s="104"/>
      <c r="BO32" s="105"/>
      <c r="BP32" s="105"/>
      <c r="BQ32" s="105"/>
      <c r="BR32" s="105"/>
      <c r="BS32" s="105"/>
      <c r="BT32" s="105"/>
      <c r="BU32" s="105"/>
      <c r="BV32" s="107"/>
      <c r="BW32" s="105"/>
      <c r="BX32" s="105"/>
      <c r="BY32" s="107"/>
      <c r="BZ32" s="107"/>
      <c r="CA32" s="105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6"/>
      <c r="CS32" s="104"/>
      <c r="CT32" s="105"/>
      <c r="CU32" s="105"/>
      <c r="CV32" s="105"/>
      <c r="CW32" s="105"/>
      <c r="CX32" s="105"/>
      <c r="CY32" s="105"/>
      <c r="CZ32" s="105"/>
      <c r="DA32" s="107"/>
      <c r="DB32" s="105"/>
      <c r="DC32" s="105"/>
      <c r="DD32" s="107"/>
      <c r="DE32" s="107"/>
      <c r="DF32" s="105"/>
      <c r="DG32" s="107"/>
      <c r="DH32" s="107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6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</row>
    <row r="33" spans="1:141" ht="13.15" x14ac:dyDescent="0.4">
      <c r="A33" s="74">
        <f t="shared" si="88"/>
        <v>4</v>
      </c>
      <c r="B33" s="74">
        <v>29</v>
      </c>
      <c r="C33" s="99">
        <f>DATE(Jaartal,Template!$B$3,Template!$B33)</f>
        <v>43859</v>
      </c>
      <c r="D33" s="104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6"/>
      <c r="AI33" s="104"/>
      <c r="AJ33" s="105"/>
      <c r="AK33" s="105"/>
      <c r="AL33" s="105"/>
      <c r="AM33" s="105"/>
      <c r="AN33" s="105"/>
      <c r="AO33" s="105"/>
      <c r="AP33" s="105"/>
      <c r="AQ33" s="107"/>
      <c r="AR33" s="105"/>
      <c r="AS33" s="105"/>
      <c r="AT33" s="107"/>
      <c r="AU33" s="107"/>
      <c r="AV33" s="105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6"/>
      <c r="BN33" s="104"/>
      <c r="BO33" s="105"/>
      <c r="BP33" s="105"/>
      <c r="BQ33" s="105"/>
      <c r="BR33" s="105"/>
      <c r="BS33" s="105"/>
      <c r="BT33" s="105"/>
      <c r="BU33" s="105"/>
      <c r="BV33" s="107"/>
      <c r="BW33" s="105"/>
      <c r="BX33" s="105"/>
      <c r="BY33" s="107"/>
      <c r="BZ33" s="107"/>
      <c r="CA33" s="105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6"/>
      <c r="CS33" s="104"/>
      <c r="CT33" s="105"/>
      <c r="CU33" s="105"/>
      <c r="CV33" s="105"/>
      <c r="CW33" s="105"/>
      <c r="CX33" s="105"/>
      <c r="CY33" s="105"/>
      <c r="CZ33" s="105"/>
      <c r="DA33" s="107"/>
      <c r="DB33" s="105"/>
      <c r="DC33" s="105"/>
      <c r="DD33" s="107"/>
      <c r="DE33" s="107"/>
      <c r="DF33" s="105"/>
      <c r="DG33" s="107"/>
      <c r="DH33" s="107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6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</row>
    <row r="34" spans="1:141" ht="13.15" x14ac:dyDescent="0.4">
      <c r="A34" s="74">
        <f t="shared" si="88"/>
        <v>5</v>
      </c>
      <c r="B34" s="74">
        <v>30</v>
      </c>
      <c r="C34" s="99">
        <f>DATE(Jaartal,Template!$B$3,Template!$B34)</f>
        <v>43860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6"/>
      <c r="AI34" s="104"/>
      <c r="AJ34" s="105"/>
      <c r="AK34" s="105"/>
      <c r="AL34" s="105"/>
      <c r="AM34" s="105"/>
      <c r="AN34" s="105"/>
      <c r="AO34" s="105"/>
      <c r="AP34" s="105"/>
      <c r="AQ34" s="107"/>
      <c r="AR34" s="105"/>
      <c r="AS34" s="105"/>
      <c r="AT34" s="107"/>
      <c r="AU34" s="107"/>
      <c r="AV34" s="105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6"/>
      <c r="BN34" s="104"/>
      <c r="BO34" s="105"/>
      <c r="BP34" s="105"/>
      <c r="BQ34" s="105"/>
      <c r="BR34" s="105"/>
      <c r="BS34" s="105"/>
      <c r="BT34" s="105"/>
      <c r="BU34" s="105"/>
      <c r="BV34" s="107"/>
      <c r="BW34" s="105"/>
      <c r="BX34" s="105"/>
      <c r="BY34" s="107"/>
      <c r="BZ34" s="107"/>
      <c r="CA34" s="105"/>
      <c r="CB34" s="107"/>
      <c r="CC34" s="107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6"/>
      <c r="CS34" s="104"/>
      <c r="CT34" s="105"/>
      <c r="CU34" s="105"/>
      <c r="CV34" s="105"/>
      <c r="CW34" s="105"/>
      <c r="CX34" s="105"/>
      <c r="CY34" s="105"/>
      <c r="CZ34" s="105"/>
      <c r="DA34" s="107"/>
      <c r="DB34" s="105"/>
      <c r="DC34" s="105"/>
      <c r="DD34" s="107"/>
      <c r="DE34" s="107"/>
      <c r="DF34" s="105"/>
      <c r="DG34" s="107"/>
      <c r="DH34" s="107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6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</row>
    <row r="35" spans="1:141" ht="13.15" x14ac:dyDescent="0.4">
      <c r="A35" s="74">
        <f t="shared" si="88"/>
        <v>6</v>
      </c>
      <c r="B35" s="74">
        <v>31</v>
      </c>
      <c r="C35" s="99">
        <f>DATE(Jaartal,Template!$B$3,Template!$B35)</f>
        <v>43861</v>
      </c>
      <c r="D35" s="104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6"/>
      <c r="AI35" s="104"/>
      <c r="AJ35" s="105"/>
      <c r="AK35" s="105"/>
      <c r="AL35" s="105"/>
      <c r="AM35" s="105"/>
      <c r="AN35" s="105"/>
      <c r="AO35" s="105"/>
      <c r="AP35" s="105"/>
      <c r="AQ35" s="107"/>
      <c r="AR35" s="105"/>
      <c r="AS35" s="105"/>
      <c r="AT35" s="107"/>
      <c r="AU35" s="107"/>
      <c r="AV35" s="105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6"/>
      <c r="BN35" s="104"/>
      <c r="BO35" s="105"/>
      <c r="BP35" s="105"/>
      <c r="BQ35" s="105"/>
      <c r="BR35" s="105"/>
      <c r="BS35" s="105"/>
      <c r="BT35" s="105"/>
      <c r="BU35" s="105"/>
      <c r="BV35" s="107"/>
      <c r="BW35" s="105"/>
      <c r="BX35" s="105"/>
      <c r="BY35" s="107"/>
      <c r="BZ35" s="107"/>
      <c r="CA35" s="105"/>
      <c r="CB35" s="107"/>
      <c r="CC35" s="107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6"/>
      <c r="CS35" s="108"/>
      <c r="CT35" s="105"/>
      <c r="CU35" s="105"/>
      <c r="CV35" s="105"/>
      <c r="CW35" s="105"/>
      <c r="CX35" s="105"/>
      <c r="CY35" s="105"/>
      <c r="CZ35" s="105"/>
      <c r="DA35" s="107"/>
      <c r="DB35" s="105"/>
      <c r="DC35" s="105"/>
      <c r="DD35" s="107"/>
      <c r="DE35" s="107"/>
      <c r="DF35" s="105"/>
      <c r="DG35" s="107"/>
      <c r="DH35" s="107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6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</row>
    <row r="36" spans="1:141" x14ac:dyDescent="0.35">
      <c r="BR36" s="1"/>
      <c r="BS36" s="1"/>
      <c r="BT36" s="1"/>
      <c r="BU36" s="1"/>
      <c r="BV36" s="1"/>
      <c r="BY36" s="1"/>
      <c r="BZ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W36" s="1"/>
      <c r="CX36" s="1"/>
      <c r="CY36" s="1"/>
      <c r="CZ36" s="1"/>
      <c r="DA36" s="1"/>
      <c r="DD36" s="1"/>
      <c r="DE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</row>
    <row r="38" spans="1:141" ht="13.15" thickBot="1" x14ac:dyDescent="0.4"/>
    <row r="39" spans="1:141" ht="13.5" thickBot="1" x14ac:dyDescent="0.45">
      <c r="D39" s="109" t="s">
        <v>7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1"/>
    </row>
    <row r="40" spans="1:141" ht="13.5" thickBot="1" x14ac:dyDescent="0.45">
      <c r="D40" s="112">
        <v>1</v>
      </c>
      <c r="E40" s="113" t="s">
        <v>4</v>
      </c>
      <c r="F40" s="113"/>
      <c r="G40" s="113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5"/>
    </row>
    <row r="41" spans="1:141" ht="13.5" thickBot="1" x14ac:dyDescent="0.45">
      <c r="D41" s="116">
        <v>2</v>
      </c>
      <c r="E41" s="117" t="s">
        <v>6</v>
      </c>
      <c r="F41" s="117"/>
      <c r="G41" s="117"/>
      <c r="H41" s="117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9"/>
    </row>
    <row r="42" spans="1:141" ht="13.5" thickBot="1" x14ac:dyDescent="0.45">
      <c r="D42" s="120">
        <v>3</v>
      </c>
      <c r="E42" s="117" t="s">
        <v>15</v>
      </c>
      <c r="F42" s="117"/>
      <c r="G42" s="117"/>
      <c r="H42" s="117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9"/>
    </row>
    <row r="43" spans="1:141" ht="13.5" thickBot="1" x14ac:dyDescent="0.45">
      <c r="D43" s="121"/>
      <c r="E43" s="122" t="s">
        <v>8</v>
      </c>
      <c r="F43" s="122"/>
      <c r="G43" s="122"/>
      <c r="H43" s="12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4"/>
    </row>
    <row r="44" spans="1:141" x14ac:dyDescent="0.35">
      <c r="D44" s="2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4"/>
      <c r="AI44" s="4"/>
      <c r="AR44" s="3"/>
      <c r="AS44" s="3"/>
      <c r="AV44" s="3"/>
      <c r="BW44" s="3"/>
      <c r="BX44" s="3"/>
      <c r="CA44" s="3"/>
      <c r="DB44" s="3"/>
      <c r="DC44" s="3"/>
      <c r="DF44" s="3"/>
    </row>
    <row r="52" spans="33:34" x14ac:dyDescent="0.35">
      <c r="AG52" s="1"/>
      <c r="AH52" s="1"/>
    </row>
    <row r="53" spans="33:34" x14ac:dyDescent="0.35">
      <c r="AG53" s="1"/>
      <c r="AH53" s="1"/>
    </row>
    <row r="54" spans="33:34" x14ac:dyDescent="0.35">
      <c r="AG54" s="1"/>
      <c r="AH54" s="1"/>
    </row>
    <row r="55" spans="33:34" x14ac:dyDescent="0.35">
      <c r="AG55" s="1"/>
      <c r="AH55" s="1"/>
    </row>
    <row r="56" spans="33:34" x14ac:dyDescent="0.35">
      <c r="AG56" s="1"/>
      <c r="AH56" s="1"/>
    </row>
  </sheetData>
  <sheetProtection selectLockedCells="1"/>
  <mergeCells count="13">
    <mergeCell ref="D39:AI39"/>
    <mergeCell ref="E40:AI40"/>
    <mergeCell ref="E41:AI41"/>
    <mergeCell ref="E42:AI42"/>
    <mergeCell ref="E43:AI43"/>
    <mergeCell ref="D1:AH1"/>
    <mergeCell ref="AI1:BM1"/>
    <mergeCell ref="BN1:CR1"/>
    <mergeCell ref="CS1:DW1"/>
    <mergeCell ref="AH3:AH4"/>
    <mergeCell ref="BM3:BM4"/>
    <mergeCell ref="CR3:CR4"/>
    <mergeCell ref="DW3:DW4"/>
  </mergeCells>
  <conditionalFormatting sqref="D5:P35 AT5:AU35 BY5:BZ35 DD5:DE35 R5:AQ35 AW5:BV35 CB5:DA35 DG5:DW35">
    <cfRule type="expression" dxfId="35" priority="29" stopIfTrue="1">
      <formula>D5=3</formula>
    </cfRule>
    <cfRule type="expression" dxfId="34" priority="30" stopIfTrue="1">
      <formula>D5=2</formula>
    </cfRule>
    <cfRule type="expression" dxfId="33" priority="31" stopIfTrue="1">
      <formula>D5=1</formula>
    </cfRule>
    <cfRule type="expression" dxfId="32" priority="32" stopIfTrue="1">
      <formula>IF($A5=1,1,IF($A5=7,1,IF(D$2="Q",IF($A5=2,IF($B5&lt;8,IF(MOD($B$3,3)&lt;&gt;0,1,0),1),1),IF(D$2="M",IF($A5=2,IF($B5&gt;7,1,0),1),IF(D$2="W",IF($A5=2,0,1),0)))))</formula>
    </cfRule>
  </conditionalFormatting>
  <conditionalFormatting sqref="AR5:AS35">
    <cfRule type="expression" dxfId="31" priority="25" stopIfTrue="1">
      <formula>AR5=3</formula>
    </cfRule>
    <cfRule type="expression" dxfId="30" priority="26" stopIfTrue="1">
      <formula>AR5=2</formula>
    </cfRule>
    <cfRule type="expression" dxfId="29" priority="27" stopIfTrue="1">
      <formula>AR5=1</formula>
    </cfRule>
    <cfRule type="expression" dxfId="28" priority="28" stopIfTrue="1">
      <formula>IF($A5=1,1,IF($A5=7,1,IF(AR$2="Q",IF($A5=2,IF($B5&lt;8,IF(MOD($B$3,3)&lt;&gt;0,1,0),1),1),IF(AR$2="M",IF($A5=2,IF($B5&gt;7,1,0),1),IF(AR$2="W",IF($A5=2,0,1),0)))))</formula>
    </cfRule>
  </conditionalFormatting>
  <conditionalFormatting sqref="BW5:BX35">
    <cfRule type="expression" dxfId="27" priority="21" stopIfTrue="1">
      <formula>BW5=3</formula>
    </cfRule>
    <cfRule type="expression" dxfId="26" priority="22" stopIfTrue="1">
      <formula>BW5=2</formula>
    </cfRule>
    <cfRule type="expression" dxfId="25" priority="23" stopIfTrue="1">
      <formula>BW5=1</formula>
    </cfRule>
    <cfRule type="expression" dxfId="24" priority="24" stopIfTrue="1">
      <formula>IF($A5=1,1,IF($A5=7,1,IF(BW$2="Q",IF($A5=2,IF($B5&lt;8,IF(MOD($B$3,3)&lt;&gt;0,1,0),1),1),IF(BW$2="M",IF($A5=2,IF($B5&gt;7,1,0),1),IF(BW$2="W",IF($A5=2,0,1),0)))))</formula>
    </cfRule>
  </conditionalFormatting>
  <conditionalFormatting sqref="DB5:DC35">
    <cfRule type="expression" dxfId="23" priority="17" stopIfTrue="1">
      <formula>DB5=3</formula>
    </cfRule>
    <cfRule type="expression" dxfId="22" priority="18" stopIfTrue="1">
      <formula>DB5=2</formula>
    </cfRule>
    <cfRule type="expression" dxfId="21" priority="19" stopIfTrue="1">
      <formula>DB5=1</formula>
    </cfRule>
    <cfRule type="expression" dxfId="20" priority="20" stopIfTrue="1">
      <formula>IF($A5=1,1,IF($A5=7,1,IF(DB$2="Q",IF($A5=2,IF($B5&lt;8,IF(MOD($B$3,3)&lt;&gt;0,1,0),1),1),IF(DB$2="M",IF($A5=2,IF($B5&gt;7,1,0),1),IF(DB$2="W",IF($A5=2,0,1),0)))))</formula>
    </cfRule>
  </conditionalFormatting>
  <conditionalFormatting sqref="Q5:Q35">
    <cfRule type="expression" dxfId="19" priority="13" stopIfTrue="1">
      <formula>Q5=3</formula>
    </cfRule>
    <cfRule type="expression" dxfId="18" priority="14" stopIfTrue="1">
      <formula>Q5=2</formula>
    </cfRule>
    <cfRule type="expression" dxfId="17" priority="15" stopIfTrue="1">
      <formula>Q5=1</formula>
    </cfRule>
    <cfRule type="expression" dxfId="16" priority="16" stopIfTrue="1">
      <formula>IF($A5=1,1,IF($A5=7,1,IF(Q$2="Q",IF($A5=2,IF($B5&lt;8,IF(MOD($B$3,3)&lt;&gt;0,1,0),1),1),IF(Q$2="M",IF($A5=2,IF($B5&gt;7,1,0),1),IF(Q$2="W",IF($A5=2,0,1),0)))))</formula>
    </cfRule>
  </conditionalFormatting>
  <conditionalFormatting sqref="AV5:AV35">
    <cfRule type="expression" dxfId="15" priority="9" stopIfTrue="1">
      <formula>AV5=3</formula>
    </cfRule>
    <cfRule type="expression" dxfId="14" priority="10" stopIfTrue="1">
      <formula>AV5=2</formula>
    </cfRule>
    <cfRule type="expression" dxfId="13" priority="11" stopIfTrue="1">
      <formula>AV5=1</formula>
    </cfRule>
    <cfRule type="expression" dxfId="12" priority="12" stopIfTrue="1">
      <formula>IF($A5=1,1,IF($A5=7,1,IF(AV$2="Q",IF($A5=2,IF($B5&lt;8,IF(MOD($B$3,3)&lt;&gt;0,1,0),1),1),IF(AV$2="M",IF($A5=2,IF($B5&gt;7,1,0),1),IF(AV$2="W",IF($A5=2,0,1),0)))))</formula>
    </cfRule>
  </conditionalFormatting>
  <conditionalFormatting sqref="CA5:CA35">
    <cfRule type="expression" dxfId="11" priority="5" stopIfTrue="1">
      <formula>CA5=3</formula>
    </cfRule>
    <cfRule type="expression" dxfId="10" priority="6" stopIfTrue="1">
      <formula>CA5=2</formula>
    </cfRule>
    <cfRule type="expression" dxfId="9" priority="7" stopIfTrue="1">
      <formula>CA5=1</formula>
    </cfRule>
    <cfRule type="expression" dxfId="8" priority="8" stopIfTrue="1">
      <formula>IF($A5=1,1,IF($A5=7,1,IF(CA$2="Q",IF($A5=2,IF($B5&lt;8,IF(MOD($B$3,3)&lt;&gt;0,1,0),1),1),IF(CA$2="M",IF($A5=2,IF($B5&gt;7,1,0),1),IF(CA$2="W",IF($A5=2,0,1),0)))))</formula>
    </cfRule>
  </conditionalFormatting>
  <conditionalFormatting sqref="DF5:DF35">
    <cfRule type="expression" dxfId="7" priority="1" stopIfTrue="1">
      <formula>DF5=3</formula>
    </cfRule>
    <cfRule type="expression" dxfId="6" priority="2" stopIfTrue="1">
      <formula>DF5=2</formula>
    </cfRule>
    <cfRule type="expression" dxfId="5" priority="3" stopIfTrue="1">
      <formula>DF5=1</formula>
    </cfRule>
    <cfRule type="expression" dxfId="4" priority="4" stopIfTrue="1">
      <formula>IF($A5=1,1,IF($A5=7,1,IF(DF$2="Q",IF($A5=2,IF($B5&lt;8,IF(MOD($B$3,3)&lt;&gt;0,1,0),1),1),IF(DF$2="M",IF($A5=2,IF($B5&gt;7,1,0),1),IF(DF$2="W",IF($A5=2,0,1),0)))))</formula>
    </cfRule>
  </conditionalFormatting>
  <dataValidations count="4">
    <dataValidation type="list" allowBlank="1" showInputMessage="1" showErrorMessage="1" sqref="BN5:CQ35 D5:AG35 AI5:BL35 CS5:DV35" xr:uid="{00000000-0002-0000-0E00-000000000000}">
      <formula1>Status</formula1>
    </dataValidation>
    <dataValidation type="list" allowBlank="1" showInputMessage="1" showErrorMessage="1" sqref="C3" xr:uid="{00000000-0002-0000-0E00-000001000000}">
      <formula1>List_Maanden</formula1>
    </dataValidation>
    <dataValidation type="list" allowBlank="1" showInputMessage="1" showErrorMessage="1" sqref="DW5:DW35 CR5:CR35 BM5:BM35 AH5:AH35" xr:uid="{00000000-0002-0000-0E00-000002000000}">
      <formula1>List_Personen</formula1>
    </dataValidation>
    <dataValidation type="list" allowBlank="1" showInputMessage="1" showErrorMessage="1" sqref="DB2:DC2 AR2:AS2 BW2:BX2 D2:AG2 AV2 CA2 DF2" xr:uid="{00000000-0002-0000-0E00-000003000000}">
      <formula1>"D,W,M,Q"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04281D5E7B65841AD9A18B3B9D6ECC8" ma:contentTypeVersion="5" ma:contentTypeDescription="Een nieuw document maken." ma:contentTypeScope="" ma:versionID="a79937e33d980fb0ced1861ceb6d0d56">
  <xsd:schema xmlns:xsd="http://www.w3.org/2001/XMLSchema" xmlns:xs="http://www.w3.org/2001/XMLSchema" xmlns:p="http://schemas.microsoft.com/office/2006/metadata/properties" xmlns:ns1="http://schemas.microsoft.com/sharepoint/v3" xmlns:ns3="b3ae827f-33b3-41ce-a44e-e7d6ced249a2" targetNamespace="http://schemas.microsoft.com/office/2006/metadata/properties" ma:root="true" ma:fieldsID="055ebe9e598b4e3e17a18117c852de1f" ns1:_="" ns3:_="">
    <xsd:import namespace="http://schemas.microsoft.com/sharepoint/v3"/>
    <xsd:import namespace="b3ae827f-33b3-41ce-a44e-e7d6ced249a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ingHintHash" minOccurs="0"/>
                <xsd:element ref="ns3:SharedWithDetail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ae827f-33b3-41ce-a44e-e7d6ced249a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Hint-hash delen" ma:internalName="SharingHintHash" ma:readOnly="true">
      <xsd:simpleType>
        <xsd:restriction base="dms:Text"/>
      </xsd:simpleType>
    </xsd:element>
    <xsd:element name="SharedWithDetails" ma:index="10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LongProperties xmlns="http://schemas.microsoft.com/office/2006/metadata/longPropertie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FD4309C-BDF7-4451-A55C-08132CBE96BF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sharepoint/v3"/>
    <ds:schemaRef ds:uri="http://schemas.openxmlformats.org/package/2006/metadata/core-properties"/>
    <ds:schemaRef ds:uri="http://purl.org/dc/terms/"/>
    <ds:schemaRef ds:uri="b3ae827f-33b3-41ce-a44e-e7d6ced249a2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FEF6AE4-36B3-4A68-B39C-B5BDEF395F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b3ae827f-33b3-41ce-a44e-e7d6ced249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5BE492E-0C0A-443E-BB96-CFBA897870DA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371015C2-2EE6-476A-8BC7-394EA54B60C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Instructions</vt:lpstr>
      <vt:lpstr>Data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Template</vt:lpstr>
      <vt:lpstr>Jaartal</vt:lpstr>
      <vt:lpstr>List_Maanden</vt:lpstr>
      <vt:lpstr>List_Personen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Yorick Kuijs</dc:creator>
  <cp:lastModifiedBy>Yorick Kuijs</cp:lastModifiedBy>
  <dcterms:created xsi:type="dcterms:W3CDTF">2012-08-20T07:18:58Z</dcterms:created>
  <dcterms:modified xsi:type="dcterms:W3CDTF">2020-07-09T19:17:15Z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2020-06-19T21:11:44Z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3135f656-74be-4924-902c-0d4c27b2e2c9</vt:lpwstr>
  </property>
  <property fmtid="{D5CDD505-2E9C-101B-9397-08002B2CF9AE}" pid="8" name="MSIP_Label_f42aa342-8706-4288-bd11-ebb85995028c_ContentBits">
    <vt:lpwstr>0</vt:lpwstr>
  </property>
</Properties>
</file>